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spectropy.sharepoint.com/teams/CRM/Shared Documents/CSM 2025-26/All Clients 2025-26 AY (N&amp;T)/Clients service/Neo Geethanjali/Neo Geethanjali_Exams MAR 14th/Class - 6/"/>
    </mc:Choice>
  </mc:AlternateContent>
  <xr:revisionPtr revIDLastSave="42" documentId="13_ncr:1_{3D586ADC-EEB2-4409-A99A-45711C032DFF}" xr6:coauthVersionLast="47" xr6:coauthVersionMax="47" xr10:uidLastSave="{442142BF-D046-4884-BD60-614ACDB28E1D}"/>
  <bookViews>
    <workbookView xWindow="-110" yWindow="-110" windowWidth="19420" windowHeight="10300" activeTab="2" xr2:uid="{DA13A9EB-654D-4270-B854-51C3D4254AE4}"/>
  </bookViews>
  <sheets>
    <sheet name="Score_Sheet" sheetId="1" r:id="rId1"/>
    <sheet name="Sheet1" sheetId="2" state="hidden" r:id="rId2"/>
    <sheet name="Class_Wise" sheetId="4" r:id="rId3"/>
  </sheets>
  <definedNames>
    <definedName name="_xlnm._FilterDatabase" localSheetId="2" hidden="1">Class_Wise!$A$9:$Q$135</definedName>
    <definedName name="_xlnm._FilterDatabase" localSheetId="0" hidden="1">Score_Sheet!$A$1:$AI$55</definedName>
    <definedName name="_xlnm._FilterDatabase" localSheetId="1" hidden="1">Sheet1!$A$9:$S$47</definedName>
    <definedName name="N_G8_TULIPS_SCORE" localSheetId="2">_xlfn._xlws.FILTER(#REF!,#REF!,#REF!=N_G8_TULIPS)</definedName>
    <definedName name="N_G8_TULIPS_SCORE">_xlfn._xlws.FILTER(#REF!,#REF!,#REF!=N_G8_TULIPS)</definedName>
    <definedName name="_xlnm.Print_Area" localSheetId="2">Class_Wise!$A$3:$R$47</definedName>
    <definedName name="_xlnm.Print_Area" localSheetId="1">Sheet1!$A$3:$S$47</definedName>
    <definedName name="_xlnm.Print_Titles" localSheetId="2">Class_Wise!$9:$9</definedName>
    <definedName name="_xlnm.Print_Titles" localSheetId="1">Sheet1!$9:$10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9" i="4" l="1"/>
  <c r="C50" i="4"/>
  <c r="C51" i="4"/>
  <c r="C52" i="4"/>
  <c r="C53" i="4"/>
  <c r="C54" i="4"/>
  <c r="C55" i="4"/>
  <c r="C56" i="4"/>
  <c r="C57" i="4"/>
  <c r="C58" i="4"/>
  <c r="D51" i="4" a="1"/>
  <c r="D51" i="4" s="1"/>
  <c r="D52" i="4" a="1"/>
  <c r="D52" i="4" s="1"/>
  <c r="D53" i="4" a="1"/>
  <c r="D53" i="4" s="1"/>
  <c r="D54" i="4" a="1"/>
  <c r="D54" i="4" s="1"/>
  <c r="D55" i="4" a="1"/>
  <c r="D55" i="4" s="1"/>
  <c r="D56" i="4" a="1"/>
  <c r="D56" i="4" s="1"/>
  <c r="D57" i="4" a="1"/>
  <c r="D57" i="4" s="1"/>
  <c r="D58" i="4" a="1"/>
  <c r="D58" i="4" s="1"/>
  <c r="D59" i="4" a="1"/>
  <c r="D59" i="4" s="1"/>
  <c r="D60" i="4" a="1"/>
  <c r="D60" i="4" s="1"/>
  <c r="D61" i="4" a="1"/>
  <c r="D61" i="4" s="1"/>
  <c r="D62" i="4" a="1"/>
  <c r="D62" i="4" s="1"/>
  <c r="D63" i="4" a="1"/>
  <c r="D63" i="4" s="1"/>
  <c r="D64" i="4" a="1"/>
  <c r="D64" i="4" s="1"/>
  <c r="D65" i="4" a="1"/>
  <c r="D65" i="4" s="1"/>
  <c r="D66" i="4" a="1"/>
  <c r="D66" i="4" s="1"/>
  <c r="D67" i="4" a="1"/>
  <c r="D67" i="4" s="1"/>
  <c r="D68" i="4" a="1"/>
  <c r="D68" i="4" s="1"/>
  <c r="D69" i="4" a="1"/>
  <c r="D69" i="4" s="1"/>
  <c r="D70" i="4" a="1"/>
  <c r="D70" i="4" s="1"/>
  <c r="D71" i="4" a="1"/>
  <c r="D71" i="4" s="1"/>
  <c r="D72" i="4" a="1"/>
  <c r="D72" i="4" s="1"/>
  <c r="D73" i="4" a="1"/>
  <c r="D73" i="4" s="1"/>
  <c r="D74" i="4" a="1"/>
  <c r="D74" i="4" s="1"/>
  <c r="D75" i="4" a="1"/>
  <c r="D75" i="4" s="1"/>
  <c r="D76" i="4" a="1"/>
  <c r="D76" i="4" s="1"/>
  <c r="D77" i="4" a="1"/>
  <c r="D77" i="4" s="1"/>
  <c r="D78" i="4" a="1"/>
  <c r="D78" i="4" s="1"/>
  <c r="D79" i="4" a="1"/>
  <c r="D79" i="4" s="1"/>
  <c r="D80" i="4" a="1"/>
  <c r="D80" i="4" s="1"/>
  <c r="D81" i="4" a="1"/>
  <c r="D81" i="4" s="1"/>
  <c r="D82" i="4" a="1"/>
  <c r="D82" i="4" s="1"/>
  <c r="D83" i="4" a="1"/>
  <c r="D83" i="4" s="1"/>
  <c r="D84" i="4" a="1"/>
  <c r="D84" i="4" s="1"/>
  <c r="D85" i="4" a="1"/>
  <c r="D85" i="4" s="1"/>
  <c r="D86" i="4" a="1"/>
  <c r="D86" i="4" s="1"/>
  <c r="D87" i="4" a="1"/>
  <c r="D87" i="4" s="1"/>
  <c r="D88" i="4" a="1"/>
  <c r="D88" i="4" s="1"/>
  <c r="D89" i="4" a="1"/>
  <c r="D89" i="4" s="1"/>
  <c r="D90" i="4" a="1"/>
  <c r="D90" i="4" s="1"/>
  <c r="D91" i="4" a="1"/>
  <c r="D91" i="4" s="1"/>
  <c r="D92" i="4" a="1"/>
  <c r="D92" i="4" s="1"/>
  <c r="D93" i="4" a="1"/>
  <c r="D93" i="4" s="1"/>
  <c r="D94" i="4" a="1"/>
  <c r="D94" i="4" s="1"/>
  <c r="D95" i="4" a="1"/>
  <c r="D95" i="4" s="1"/>
  <c r="D96" i="4" a="1"/>
  <c r="D96" i="4" s="1"/>
  <c r="D97" i="4" a="1"/>
  <c r="D97" i="4" s="1"/>
  <c r="D98" i="4" a="1"/>
  <c r="D98" i="4" s="1"/>
  <c r="D99" i="4" a="1"/>
  <c r="D99" i="4" s="1"/>
  <c r="D100" i="4" a="1"/>
  <c r="D100" i="4" s="1"/>
  <c r="D101" i="4" a="1"/>
  <c r="D101" i="4" s="1"/>
  <c r="D102" i="4" a="1"/>
  <c r="D102" i="4" s="1"/>
  <c r="D103" i="4" a="1"/>
  <c r="D103" i="4" s="1"/>
  <c r="D104" i="4" a="1"/>
  <c r="D104" i="4" s="1"/>
  <c r="D105" i="4" a="1"/>
  <c r="D105" i="4" s="1"/>
  <c r="D106" i="4" a="1"/>
  <c r="D106" i="4" s="1"/>
  <c r="D107" i="4" a="1"/>
  <c r="D107" i="4" s="1"/>
  <c r="D108" i="4" a="1"/>
  <c r="D108" i="4" s="1"/>
  <c r="D109" i="4" a="1"/>
  <c r="D109" i="4" s="1"/>
  <c r="D110" i="4" a="1"/>
  <c r="D110" i="4" s="1"/>
  <c r="D111" i="4" a="1"/>
  <c r="D111" i="4" s="1"/>
  <c r="D112" i="4" a="1"/>
  <c r="D112" i="4" s="1"/>
  <c r="D113" i="4" a="1"/>
  <c r="D113" i="4" s="1"/>
  <c r="D114" i="4" a="1"/>
  <c r="D114" i="4" s="1"/>
  <c r="D115" i="4" a="1"/>
  <c r="D115" i="4" s="1"/>
  <c r="D116" i="4" a="1"/>
  <c r="D116" i="4" s="1"/>
  <c r="D117" i="4" a="1"/>
  <c r="D117" i="4" s="1"/>
  <c r="D118" i="4" a="1"/>
  <c r="D118" i="4" s="1"/>
  <c r="D119" i="4" a="1"/>
  <c r="D119" i="4" s="1"/>
  <c r="D120" i="4" a="1"/>
  <c r="D120" i="4" s="1"/>
  <c r="D121" i="4" a="1"/>
  <c r="D121" i="4" s="1"/>
  <c r="D122" i="4" a="1"/>
  <c r="D122" i="4" s="1"/>
  <c r="D123" i="4" a="1"/>
  <c r="D123" i="4" s="1"/>
  <c r="D124" i="4" a="1"/>
  <c r="D124" i="4" s="1"/>
  <c r="D125" i="4" a="1"/>
  <c r="D125" i="4" s="1"/>
  <c r="D126" i="4" a="1"/>
  <c r="D126" i="4" s="1"/>
  <c r="D127" i="4" a="1"/>
  <c r="D127" i="4" s="1"/>
  <c r="D128" i="4" a="1"/>
  <c r="D128" i="4" s="1"/>
  <c r="D129" i="4" a="1"/>
  <c r="D129" i="4" s="1"/>
  <c r="D130" i="4" a="1"/>
  <c r="D130" i="4" s="1"/>
  <c r="D131" i="4" a="1"/>
  <c r="D131" i="4" s="1"/>
  <c r="D132" i="4" a="1"/>
  <c r="D132" i="4" s="1"/>
  <c r="D133" i="4" a="1"/>
  <c r="D133" i="4" s="1"/>
  <c r="D134" i="4" a="1"/>
  <c r="D134" i="4" s="1"/>
  <c r="D135" i="4" a="1"/>
  <c r="D135" i="4" s="1"/>
  <c r="M233" i="4" a="1"/>
  <c r="M233" i="4" s="1"/>
  <c r="M232" i="4" a="1"/>
  <c r="M232" i="4" s="1"/>
  <c r="M231" i="4" a="1"/>
  <c r="M231" i="4" s="1"/>
  <c r="M230" i="4" a="1"/>
  <c r="M230" i="4" s="1"/>
  <c r="M229" i="4" a="1"/>
  <c r="M229" i="4" s="1"/>
  <c r="M228" i="4" a="1"/>
  <c r="M228" i="4" s="1"/>
  <c r="M227" i="4" a="1"/>
  <c r="M227" i="4" s="1"/>
  <c r="M226" i="4" a="1"/>
  <c r="M226" i="4" s="1"/>
  <c r="M225" i="4" a="1"/>
  <c r="M225" i="4" s="1"/>
  <c r="M224" i="4" a="1"/>
  <c r="M224" i="4" s="1"/>
  <c r="M223" i="4" a="1"/>
  <c r="M223" i="4" s="1"/>
  <c r="M222" i="4" a="1"/>
  <c r="M222" i="4" s="1"/>
  <c r="M221" i="4" a="1"/>
  <c r="M221" i="4" s="1"/>
  <c r="M220" i="4" a="1"/>
  <c r="M220" i="4" s="1"/>
  <c r="M219" i="4" a="1"/>
  <c r="M219" i="4" s="1"/>
  <c r="M218" i="4" a="1"/>
  <c r="M218" i="4" s="1"/>
  <c r="M217" i="4" a="1"/>
  <c r="M217" i="4" s="1"/>
  <c r="M216" i="4" a="1"/>
  <c r="M216" i="4" s="1"/>
  <c r="M215" i="4" a="1"/>
  <c r="M215" i="4" s="1"/>
  <c r="M214" i="4" a="1"/>
  <c r="M214" i="4" s="1"/>
  <c r="M213" i="4" a="1"/>
  <c r="M213" i="4" s="1"/>
  <c r="M212" i="4" a="1"/>
  <c r="M212" i="4" s="1"/>
  <c r="M211" i="4" a="1"/>
  <c r="M211" i="4" s="1"/>
  <c r="M210" i="4" a="1"/>
  <c r="M210" i="4" s="1"/>
  <c r="M209" i="4" a="1"/>
  <c r="M209" i="4" s="1"/>
  <c r="M208" i="4" a="1"/>
  <c r="M208" i="4" s="1"/>
  <c r="M207" i="4" a="1"/>
  <c r="M207" i="4" s="1"/>
  <c r="M206" i="4" a="1"/>
  <c r="M206" i="4" s="1"/>
  <c r="M205" i="4" a="1"/>
  <c r="M205" i="4" s="1"/>
  <c r="M204" i="4" a="1"/>
  <c r="M204" i="4" s="1"/>
  <c r="M203" i="4" a="1"/>
  <c r="M203" i="4" s="1"/>
  <c r="M202" i="4" a="1"/>
  <c r="M202" i="4" s="1"/>
  <c r="M201" i="4" a="1"/>
  <c r="M201" i="4" s="1"/>
  <c r="M200" i="4" a="1"/>
  <c r="M200" i="4" s="1"/>
  <c r="M199" i="4" a="1"/>
  <c r="M199" i="4" s="1"/>
  <c r="M198" i="4" a="1"/>
  <c r="M198" i="4" s="1"/>
  <c r="M197" i="4" a="1"/>
  <c r="M197" i="4" s="1"/>
  <c r="M196" i="4" a="1"/>
  <c r="M196" i="4" s="1"/>
  <c r="M195" i="4" a="1"/>
  <c r="M195" i="4" s="1"/>
  <c r="M194" i="4" a="1"/>
  <c r="M194" i="4" s="1"/>
  <c r="M193" i="4" a="1"/>
  <c r="M193" i="4" s="1"/>
  <c r="M192" i="4" a="1"/>
  <c r="M192" i="4" s="1"/>
  <c r="M191" i="4" a="1"/>
  <c r="M191" i="4" s="1"/>
  <c r="M190" i="4" a="1"/>
  <c r="M190" i="4" s="1"/>
  <c r="M189" i="4" a="1"/>
  <c r="M189" i="4" s="1"/>
  <c r="M188" i="4" a="1"/>
  <c r="M188" i="4" s="1"/>
  <c r="M187" i="4" a="1"/>
  <c r="M187" i="4" s="1"/>
  <c r="M186" i="4" a="1"/>
  <c r="M186" i="4" s="1"/>
  <c r="M185" i="4" a="1"/>
  <c r="M185" i="4" s="1"/>
  <c r="M184" i="4" a="1"/>
  <c r="M184" i="4" s="1"/>
  <c r="M183" i="4" a="1"/>
  <c r="M183" i="4" s="1"/>
  <c r="M182" i="4" a="1"/>
  <c r="M182" i="4" s="1"/>
  <c r="M181" i="4" a="1"/>
  <c r="M181" i="4" s="1"/>
  <c r="M180" i="4" a="1"/>
  <c r="M180" i="4" s="1"/>
  <c r="M179" i="4" a="1"/>
  <c r="M179" i="4" s="1"/>
  <c r="M178" i="4" a="1"/>
  <c r="M178" i="4" s="1"/>
  <c r="M177" i="4" a="1"/>
  <c r="M177" i="4" s="1"/>
  <c r="M176" i="4" a="1"/>
  <c r="M176" i="4" s="1"/>
  <c r="M175" i="4" a="1"/>
  <c r="M175" i="4" s="1"/>
  <c r="M174" i="4" a="1"/>
  <c r="M174" i="4" s="1"/>
  <c r="M173" i="4" a="1"/>
  <c r="M173" i="4" s="1"/>
  <c r="M172" i="4" a="1"/>
  <c r="M172" i="4" s="1"/>
  <c r="M171" i="4" a="1"/>
  <c r="M171" i="4" s="1"/>
  <c r="M170" i="4" a="1"/>
  <c r="M170" i="4" s="1"/>
  <c r="M169" i="4" a="1"/>
  <c r="M169" i="4" s="1"/>
  <c r="M168" i="4" a="1"/>
  <c r="M168" i="4" s="1"/>
  <c r="M167" i="4" a="1"/>
  <c r="M167" i="4" s="1"/>
  <c r="M166" i="4" a="1"/>
  <c r="M166" i="4" s="1"/>
  <c r="M165" i="4" a="1"/>
  <c r="M165" i="4" s="1"/>
  <c r="M164" i="4" a="1"/>
  <c r="M164" i="4" s="1"/>
  <c r="M163" i="4" a="1"/>
  <c r="M163" i="4" s="1"/>
  <c r="M162" i="4" a="1"/>
  <c r="M162" i="4" s="1"/>
  <c r="M161" i="4" a="1"/>
  <c r="M161" i="4" s="1"/>
  <c r="M160" i="4" a="1"/>
  <c r="M160" i="4" s="1"/>
  <c r="M159" i="4" a="1"/>
  <c r="M159" i="4" s="1"/>
  <c r="M158" i="4" a="1"/>
  <c r="M158" i="4" s="1"/>
  <c r="M157" i="4" a="1"/>
  <c r="M157" i="4" s="1"/>
  <c r="M156" i="4" a="1"/>
  <c r="M156" i="4" s="1"/>
  <c r="M155" i="4" a="1"/>
  <c r="M155" i="4" s="1"/>
  <c r="M154" i="4" a="1"/>
  <c r="M154" i="4" s="1"/>
  <c r="M153" i="4" a="1"/>
  <c r="M153" i="4" s="1"/>
  <c r="M152" i="4" a="1"/>
  <c r="M152" i="4" s="1"/>
  <c r="M151" i="4" a="1"/>
  <c r="M151" i="4" s="1"/>
  <c r="M150" i="4" a="1"/>
  <c r="M150" i="4" s="1"/>
  <c r="M149" i="4" a="1"/>
  <c r="M149" i="4" s="1"/>
  <c r="M148" i="4" a="1"/>
  <c r="M148" i="4" s="1"/>
  <c r="M147" i="4" a="1"/>
  <c r="M147" i="4" s="1"/>
  <c r="M146" i="4" a="1"/>
  <c r="M146" i="4" s="1"/>
  <c r="M145" i="4" a="1"/>
  <c r="M145" i="4" s="1"/>
  <c r="M144" i="4" a="1"/>
  <c r="M144" i="4" s="1"/>
  <c r="M143" i="4" a="1"/>
  <c r="M143" i="4" s="1"/>
  <c r="M142" i="4" a="1"/>
  <c r="M142" i="4" s="1"/>
  <c r="M141" i="4" a="1"/>
  <c r="M141" i="4" s="1"/>
  <c r="M140" i="4" a="1"/>
  <c r="M140" i="4" s="1"/>
  <c r="M139" i="4" a="1"/>
  <c r="M139" i="4" s="1"/>
  <c r="M138" i="4" a="1"/>
  <c r="M138" i="4" s="1"/>
  <c r="M137" i="4" a="1"/>
  <c r="M137" i="4" s="1"/>
  <c r="M136" i="4" a="1"/>
  <c r="M136" i="4" s="1"/>
  <c r="M135" i="4" a="1"/>
  <c r="M135" i="4" s="1"/>
  <c r="M134" i="4" a="1"/>
  <c r="M134" i="4" s="1"/>
  <c r="M133" i="4" a="1"/>
  <c r="M133" i="4" s="1"/>
  <c r="M132" i="4" a="1"/>
  <c r="M132" i="4" s="1"/>
  <c r="M131" i="4" a="1"/>
  <c r="M131" i="4" s="1"/>
  <c r="M130" i="4" a="1"/>
  <c r="M130" i="4" s="1"/>
  <c r="M129" i="4" a="1"/>
  <c r="M129" i="4" s="1"/>
  <c r="M128" i="4" a="1"/>
  <c r="M128" i="4" s="1"/>
  <c r="M127" i="4" a="1"/>
  <c r="M127" i="4" s="1"/>
  <c r="M126" i="4" a="1"/>
  <c r="M126" i="4" s="1"/>
  <c r="M125" i="4" a="1"/>
  <c r="M125" i="4" s="1"/>
  <c r="M124" i="4" a="1"/>
  <c r="M124" i="4" s="1"/>
  <c r="M123" i="4" a="1"/>
  <c r="M123" i="4" s="1"/>
  <c r="M122" i="4" a="1"/>
  <c r="M122" i="4" s="1"/>
  <c r="M121" i="4" a="1"/>
  <c r="M121" i="4" s="1"/>
  <c r="M120" i="4" a="1"/>
  <c r="M120" i="4" s="1"/>
  <c r="M119" i="4" a="1"/>
  <c r="M119" i="4" s="1"/>
  <c r="M118" i="4" a="1"/>
  <c r="M118" i="4" s="1"/>
  <c r="M117" i="4" a="1"/>
  <c r="M117" i="4" s="1"/>
  <c r="M116" i="4" a="1"/>
  <c r="M116" i="4" s="1"/>
  <c r="M115" i="4" a="1"/>
  <c r="M115" i="4" s="1"/>
  <c r="M114" i="4" a="1"/>
  <c r="M114" i="4" s="1"/>
  <c r="M113" i="4" a="1"/>
  <c r="M113" i="4" s="1"/>
  <c r="M112" i="4" a="1"/>
  <c r="M112" i="4" s="1"/>
  <c r="M111" i="4" a="1"/>
  <c r="M111" i="4" s="1"/>
  <c r="M110" i="4" a="1"/>
  <c r="M110" i="4" s="1"/>
  <c r="M109" i="4" a="1"/>
  <c r="M109" i="4" s="1"/>
  <c r="M108" i="4" a="1"/>
  <c r="M108" i="4" s="1"/>
  <c r="M107" i="4" a="1"/>
  <c r="M107" i="4" s="1"/>
  <c r="M106" i="4" a="1"/>
  <c r="M106" i="4" s="1"/>
  <c r="M105" i="4" a="1"/>
  <c r="M105" i="4" s="1"/>
  <c r="M104" i="4" a="1"/>
  <c r="M104" i="4" s="1"/>
  <c r="M103" i="4" a="1"/>
  <c r="M103" i="4" s="1"/>
  <c r="M102" i="4" a="1"/>
  <c r="M102" i="4" s="1"/>
  <c r="M101" i="4" a="1"/>
  <c r="M101" i="4" s="1"/>
  <c r="M100" i="4" a="1"/>
  <c r="M100" i="4" s="1"/>
  <c r="M99" i="4" a="1"/>
  <c r="M99" i="4" s="1"/>
  <c r="M98" i="4" a="1"/>
  <c r="M98" i="4" s="1"/>
  <c r="M97" i="4" a="1"/>
  <c r="M97" i="4" s="1"/>
  <c r="M96" i="4" a="1"/>
  <c r="M96" i="4" s="1"/>
  <c r="M95" i="4" a="1"/>
  <c r="M95" i="4" s="1"/>
  <c r="M94" i="4" a="1"/>
  <c r="M94" i="4" s="1"/>
  <c r="M93" i="4" a="1"/>
  <c r="M93" i="4" s="1"/>
  <c r="M92" i="4" a="1"/>
  <c r="M92" i="4" s="1"/>
  <c r="M91" i="4" a="1"/>
  <c r="M91" i="4" s="1"/>
  <c r="M90" i="4" a="1"/>
  <c r="M90" i="4" s="1"/>
  <c r="M89" i="4" a="1"/>
  <c r="M89" i="4" s="1"/>
  <c r="M88" i="4" a="1"/>
  <c r="M88" i="4" s="1"/>
  <c r="M87" i="4" a="1"/>
  <c r="M87" i="4" s="1"/>
  <c r="M86" i="4" a="1"/>
  <c r="M86" i="4" s="1"/>
  <c r="M85" i="4" a="1"/>
  <c r="M85" i="4" s="1"/>
  <c r="M84" i="4" a="1"/>
  <c r="M84" i="4" s="1"/>
  <c r="M83" i="4" a="1"/>
  <c r="M83" i="4" s="1"/>
  <c r="M82" i="4" a="1"/>
  <c r="M82" i="4" s="1"/>
  <c r="M81" i="4" a="1"/>
  <c r="M81" i="4" s="1"/>
  <c r="M80" i="4" a="1"/>
  <c r="M80" i="4" s="1"/>
  <c r="M79" i="4" a="1"/>
  <c r="M79" i="4" s="1"/>
  <c r="M78" i="4" a="1"/>
  <c r="M78" i="4" s="1"/>
  <c r="M77" i="4" a="1"/>
  <c r="M77" i="4" s="1"/>
  <c r="M76" i="4" a="1"/>
  <c r="M76" i="4" s="1"/>
  <c r="M75" i="4" a="1"/>
  <c r="M75" i="4" s="1"/>
  <c r="M74" i="4" a="1"/>
  <c r="M74" i="4" s="1"/>
  <c r="M73" i="4" a="1"/>
  <c r="M73" i="4" s="1"/>
  <c r="M72" i="4" a="1"/>
  <c r="M72" i="4" s="1"/>
  <c r="M71" i="4" a="1"/>
  <c r="M71" i="4" s="1"/>
  <c r="M70" i="4" a="1"/>
  <c r="M70" i="4" s="1"/>
  <c r="M69" i="4" a="1"/>
  <c r="M69" i="4" s="1"/>
  <c r="M68" i="4" a="1"/>
  <c r="M68" i="4" s="1"/>
  <c r="M67" i="4" a="1"/>
  <c r="M67" i="4" s="1"/>
  <c r="M66" i="4" a="1"/>
  <c r="M66" i="4" s="1"/>
  <c r="M65" i="4" a="1"/>
  <c r="M65" i="4" s="1"/>
  <c r="M64" i="4" a="1"/>
  <c r="M64" i="4" s="1"/>
  <c r="M63" i="4" a="1"/>
  <c r="M63" i="4" s="1"/>
  <c r="M62" i="4" a="1"/>
  <c r="M62" i="4" s="1"/>
  <c r="M61" i="4" a="1"/>
  <c r="M61" i="4" s="1"/>
  <c r="M60" i="4" a="1"/>
  <c r="M60" i="4" s="1"/>
  <c r="M59" i="4" a="1"/>
  <c r="M59" i="4" s="1"/>
  <c r="M58" i="4" a="1"/>
  <c r="M58" i="4" s="1"/>
  <c r="M57" i="4" a="1"/>
  <c r="M57" i="4" s="1"/>
  <c r="M56" i="4" a="1"/>
  <c r="M56" i="4" s="1"/>
  <c r="M55" i="4" a="1"/>
  <c r="M55" i="4" s="1"/>
  <c r="M54" i="4" a="1"/>
  <c r="M54" i="4" s="1"/>
  <c r="M53" i="4" a="1"/>
  <c r="M53" i="4" s="1"/>
  <c r="M52" i="4" a="1"/>
  <c r="M52" i="4" s="1"/>
  <c r="M51" i="4" a="1"/>
  <c r="M51" i="4" s="1"/>
  <c r="A11" i="4" a="1"/>
  <c r="D49" i="4" s="1" a="1"/>
  <c r="D49" i="4" s="1"/>
  <c r="B5" i="4"/>
  <c r="B6" i="4" s="1"/>
  <c r="B5" i="2"/>
  <c r="B6" i="2" s="1"/>
  <c r="E51" i="2" a="1"/>
  <c r="E51" i="2" s="1"/>
  <c r="E52" i="2" a="1"/>
  <c r="E52" i="2" s="1"/>
  <c r="E53" i="2" a="1"/>
  <c r="E53" i="2" s="1"/>
  <c r="E54" i="2" a="1"/>
  <c r="E54" i="2" s="1"/>
  <c r="E55" i="2" a="1"/>
  <c r="E55" i="2" s="1"/>
  <c r="E56" i="2" a="1"/>
  <c r="E56" i="2" s="1"/>
  <c r="E57" i="2" a="1"/>
  <c r="E57" i="2" s="1"/>
  <c r="E58" i="2" a="1"/>
  <c r="E58" i="2" s="1"/>
  <c r="E59" i="2" a="1"/>
  <c r="E59" i="2" s="1"/>
  <c r="E60" i="2" a="1"/>
  <c r="E60" i="2" s="1"/>
  <c r="E61" i="2" a="1"/>
  <c r="E61" i="2" s="1"/>
  <c r="E62" i="2" a="1"/>
  <c r="E62" i="2" s="1"/>
  <c r="E63" i="2" a="1"/>
  <c r="E63" i="2" s="1"/>
  <c r="E64" i="2" a="1"/>
  <c r="E64" i="2" s="1"/>
  <c r="E65" i="2" a="1"/>
  <c r="E65" i="2" s="1"/>
  <c r="E66" i="2" a="1"/>
  <c r="E66" i="2" s="1"/>
  <c r="E67" i="2" a="1"/>
  <c r="E67" i="2" s="1"/>
  <c r="E68" i="2" a="1"/>
  <c r="E68" i="2" s="1"/>
  <c r="E69" i="2" a="1"/>
  <c r="E69" i="2" s="1"/>
  <c r="E70" i="2" a="1"/>
  <c r="E70" i="2" s="1"/>
  <c r="E71" i="2" a="1"/>
  <c r="E71" i="2" s="1"/>
  <c r="E72" i="2" a="1"/>
  <c r="E72" i="2" s="1"/>
  <c r="E73" i="2" a="1"/>
  <c r="E73" i="2" s="1"/>
  <c r="E74" i="2" a="1"/>
  <c r="E74" i="2" s="1"/>
  <c r="E75" i="2" a="1"/>
  <c r="E75" i="2" s="1"/>
  <c r="E76" i="2" a="1"/>
  <c r="E76" i="2" s="1"/>
  <c r="E77" i="2" a="1"/>
  <c r="E77" i="2" s="1"/>
  <c r="E78" i="2" a="1"/>
  <c r="E78" i="2" s="1"/>
  <c r="E79" i="2" a="1"/>
  <c r="E79" i="2" s="1"/>
  <c r="E80" i="2" a="1"/>
  <c r="E80" i="2" s="1"/>
  <c r="E81" i="2" a="1"/>
  <c r="E81" i="2" s="1"/>
  <c r="E82" i="2" a="1"/>
  <c r="E82" i="2" s="1"/>
  <c r="E83" i="2" a="1"/>
  <c r="E83" i="2" s="1"/>
  <c r="E84" i="2" a="1"/>
  <c r="E84" i="2" s="1"/>
  <c r="E85" i="2" a="1"/>
  <c r="E85" i="2" s="1"/>
  <c r="E86" i="2" a="1"/>
  <c r="E86" i="2" s="1"/>
  <c r="E87" i="2" a="1"/>
  <c r="E87" i="2" s="1"/>
  <c r="E88" i="2" a="1"/>
  <c r="E88" i="2" s="1"/>
  <c r="E89" i="2" a="1"/>
  <c r="E89" i="2" s="1"/>
  <c r="E90" i="2" a="1"/>
  <c r="E90" i="2" s="1"/>
  <c r="E91" i="2" a="1"/>
  <c r="E91" i="2" s="1"/>
  <c r="E92" i="2" a="1"/>
  <c r="E92" i="2" s="1"/>
  <c r="E93" i="2" a="1"/>
  <c r="E93" i="2" s="1"/>
  <c r="E94" i="2" a="1"/>
  <c r="E94" i="2" s="1"/>
  <c r="E95" i="2" a="1"/>
  <c r="E95" i="2" s="1"/>
  <c r="E96" i="2" a="1"/>
  <c r="E96" i="2" s="1"/>
  <c r="E97" i="2" a="1"/>
  <c r="E97" i="2" s="1"/>
  <c r="E98" i="2" a="1"/>
  <c r="E98" i="2" s="1"/>
  <c r="E99" i="2" a="1"/>
  <c r="E99" i="2" s="1"/>
  <c r="E100" i="2" a="1"/>
  <c r="E100" i="2" s="1"/>
  <c r="E101" i="2" a="1"/>
  <c r="E101" i="2" s="1"/>
  <c r="E102" i="2" a="1"/>
  <c r="E102" i="2" s="1"/>
  <c r="E103" i="2" a="1"/>
  <c r="E103" i="2" s="1"/>
  <c r="E104" i="2" a="1"/>
  <c r="E104" i="2" s="1"/>
  <c r="E105" i="2" a="1"/>
  <c r="E105" i="2" s="1"/>
  <c r="E106" i="2" a="1"/>
  <c r="E106" i="2" s="1"/>
  <c r="E107" i="2" a="1"/>
  <c r="E107" i="2" s="1"/>
  <c r="E108" i="2" a="1"/>
  <c r="E108" i="2" s="1"/>
  <c r="E109" i="2" a="1"/>
  <c r="E109" i="2" s="1"/>
  <c r="E110" i="2" a="1"/>
  <c r="E110" i="2" s="1"/>
  <c r="E111" i="2" a="1"/>
  <c r="E111" i="2" s="1"/>
  <c r="E112" i="2" a="1"/>
  <c r="E112" i="2" s="1"/>
  <c r="E113" i="2" a="1"/>
  <c r="E113" i="2" s="1"/>
  <c r="E114" i="2" a="1"/>
  <c r="E114" i="2" s="1"/>
  <c r="E115" i="2" a="1"/>
  <c r="E115" i="2" s="1"/>
  <c r="E116" i="2" a="1"/>
  <c r="E116" i="2" s="1"/>
  <c r="E117" i="2" a="1"/>
  <c r="E117" i="2" s="1"/>
  <c r="E118" i="2" a="1"/>
  <c r="E118" i="2" s="1"/>
  <c r="E119" i="2" a="1"/>
  <c r="E119" i="2" s="1"/>
  <c r="E120" i="2" a="1"/>
  <c r="E120" i="2" s="1"/>
  <c r="E121" i="2" a="1"/>
  <c r="E121" i="2" s="1"/>
  <c r="E122" i="2" a="1"/>
  <c r="E122" i="2" s="1"/>
  <c r="E123" i="2" a="1"/>
  <c r="E123" i="2" s="1"/>
  <c r="E124" i="2" a="1"/>
  <c r="E124" i="2" s="1"/>
  <c r="E125" i="2" a="1"/>
  <c r="E125" i="2" s="1"/>
  <c r="E126" i="2" a="1"/>
  <c r="E126" i="2" s="1"/>
  <c r="E127" i="2" a="1"/>
  <c r="E127" i="2" s="1"/>
  <c r="E128" i="2" a="1"/>
  <c r="E128" i="2" s="1"/>
  <c r="E129" i="2" a="1"/>
  <c r="E129" i="2" s="1"/>
  <c r="E130" i="2" a="1"/>
  <c r="E130" i="2" s="1"/>
  <c r="E131" i="2" a="1"/>
  <c r="E131" i="2" s="1"/>
  <c r="E132" i="2" a="1"/>
  <c r="E132" i="2" s="1"/>
  <c r="E133" i="2" a="1"/>
  <c r="E133" i="2" s="1"/>
  <c r="E134" i="2" a="1"/>
  <c r="E134" i="2" s="1"/>
  <c r="E135" i="2" a="1"/>
  <c r="E135" i="2" s="1"/>
  <c r="E136" i="2" a="1"/>
  <c r="E136" i="2" s="1"/>
  <c r="E137" i="2" a="1"/>
  <c r="E137" i="2" s="1"/>
  <c r="E138" i="2" a="1"/>
  <c r="E138" i="2" s="1"/>
  <c r="E139" i="2" a="1"/>
  <c r="E139" i="2" s="1"/>
  <c r="E140" i="2" a="1"/>
  <c r="E140" i="2" s="1"/>
  <c r="E141" i="2" a="1"/>
  <c r="E141" i="2" s="1"/>
  <c r="E142" i="2" a="1"/>
  <c r="E142" i="2" s="1"/>
  <c r="E143" i="2" a="1"/>
  <c r="E143" i="2" s="1"/>
  <c r="E144" i="2" a="1"/>
  <c r="E144" i="2" s="1"/>
  <c r="E145" i="2" a="1"/>
  <c r="E145" i="2" s="1"/>
  <c r="E146" i="2" a="1"/>
  <c r="E146" i="2" s="1"/>
  <c r="E147" i="2" a="1"/>
  <c r="E147" i="2" s="1"/>
  <c r="E148" i="2" a="1"/>
  <c r="E148" i="2" s="1"/>
  <c r="E149" i="2" a="1"/>
  <c r="E149" i="2" s="1"/>
  <c r="E150" i="2" a="1"/>
  <c r="E150" i="2" s="1"/>
  <c r="E151" i="2" a="1"/>
  <c r="E151" i="2" s="1"/>
  <c r="E152" i="2" a="1"/>
  <c r="E152" i="2" s="1"/>
  <c r="E153" i="2" a="1"/>
  <c r="E153" i="2" s="1"/>
  <c r="E154" i="2" a="1"/>
  <c r="E154" i="2" s="1"/>
  <c r="E155" i="2" a="1"/>
  <c r="E155" i="2" s="1"/>
  <c r="E156" i="2" a="1"/>
  <c r="E156" i="2" s="1"/>
  <c r="E157" i="2" a="1"/>
  <c r="E157" i="2" s="1"/>
  <c r="E158" i="2" a="1"/>
  <c r="E158" i="2" s="1"/>
  <c r="E159" i="2" a="1"/>
  <c r="E159" i="2" s="1"/>
  <c r="E160" i="2" a="1"/>
  <c r="E160" i="2" s="1"/>
  <c r="E161" i="2" a="1"/>
  <c r="E161" i="2" s="1"/>
  <c r="E162" i="2" a="1"/>
  <c r="E162" i="2" s="1"/>
  <c r="E163" i="2" a="1"/>
  <c r="E163" i="2" s="1"/>
  <c r="E164" i="2" a="1"/>
  <c r="E164" i="2" s="1"/>
  <c r="E165" i="2" a="1"/>
  <c r="E165" i="2" s="1"/>
  <c r="E166" i="2" a="1"/>
  <c r="E166" i="2" s="1"/>
  <c r="E167" i="2" a="1"/>
  <c r="E167" i="2" s="1"/>
  <c r="E168" i="2" a="1"/>
  <c r="E168" i="2" s="1"/>
  <c r="E169" i="2" a="1"/>
  <c r="E169" i="2" s="1"/>
  <c r="E170" i="2" a="1"/>
  <c r="E170" i="2" s="1"/>
  <c r="E171" i="2" a="1"/>
  <c r="E171" i="2" s="1"/>
  <c r="E172" i="2" a="1"/>
  <c r="E172" i="2" s="1"/>
  <c r="E173" i="2" a="1"/>
  <c r="E173" i="2" s="1"/>
  <c r="E174" i="2" a="1"/>
  <c r="E174" i="2" s="1"/>
  <c r="E175" i="2" a="1"/>
  <c r="E175" i="2" s="1"/>
  <c r="E176" i="2" a="1"/>
  <c r="E176" i="2" s="1"/>
  <c r="E177" i="2" a="1"/>
  <c r="E177" i="2" s="1"/>
  <c r="E178" i="2" a="1"/>
  <c r="E178" i="2" s="1"/>
  <c r="E179" i="2" a="1"/>
  <c r="E179" i="2" s="1"/>
  <c r="E180" i="2" a="1"/>
  <c r="E180" i="2" s="1"/>
  <c r="E181" i="2" a="1"/>
  <c r="E181" i="2" s="1"/>
  <c r="E182" i="2" a="1"/>
  <c r="E182" i="2" s="1"/>
  <c r="E183" i="2" a="1"/>
  <c r="E183" i="2" s="1"/>
  <c r="E184" i="2" a="1"/>
  <c r="E184" i="2" s="1"/>
  <c r="E185" i="2" a="1"/>
  <c r="E185" i="2" s="1"/>
  <c r="E186" i="2" a="1"/>
  <c r="E186" i="2" s="1"/>
  <c r="E187" i="2" a="1"/>
  <c r="E187" i="2" s="1"/>
  <c r="E188" i="2" a="1"/>
  <c r="E188" i="2" s="1"/>
  <c r="E189" i="2" a="1"/>
  <c r="E189" i="2" s="1"/>
  <c r="E190" i="2" a="1"/>
  <c r="E190" i="2" s="1"/>
  <c r="E191" i="2" a="1"/>
  <c r="E191" i="2" s="1"/>
  <c r="E192" i="2" a="1"/>
  <c r="E192" i="2" s="1"/>
  <c r="E193" i="2" a="1"/>
  <c r="E193" i="2" s="1"/>
  <c r="E194" i="2" a="1"/>
  <c r="E194" i="2" s="1"/>
  <c r="E195" i="2" a="1"/>
  <c r="E195" i="2" s="1"/>
  <c r="E196" i="2" a="1"/>
  <c r="E196" i="2" s="1"/>
  <c r="E197" i="2" a="1"/>
  <c r="E197" i="2" s="1"/>
  <c r="E198" i="2" a="1"/>
  <c r="E198" i="2" s="1"/>
  <c r="E199" i="2" a="1"/>
  <c r="E199" i="2" s="1"/>
  <c r="E200" i="2" a="1"/>
  <c r="E200" i="2" s="1"/>
  <c r="E201" i="2" a="1"/>
  <c r="E201" i="2" s="1"/>
  <c r="E202" i="2" a="1"/>
  <c r="E202" i="2" s="1"/>
  <c r="E203" i="2" a="1"/>
  <c r="E203" i="2" s="1"/>
  <c r="E204" i="2" a="1"/>
  <c r="E204" i="2" s="1"/>
  <c r="E205" i="2" a="1"/>
  <c r="E205" i="2" s="1"/>
  <c r="E206" i="2" a="1"/>
  <c r="E206" i="2" s="1"/>
  <c r="E207" i="2" a="1"/>
  <c r="E207" i="2" s="1"/>
  <c r="E208" i="2" a="1"/>
  <c r="E208" i="2" s="1"/>
  <c r="E209" i="2" a="1"/>
  <c r="E209" i="2" s="1"/>
  <c r="E210" i="2" a="1"/>
  <c r="E210" i="2" s="1"/>
  <c r="E211" i="2" a="1"/>
  <c r="E211" i="2" s="1"/>
  <c r="E212" i="2" a="1"/>
  <c r="E212" i="2" s="1"/>
  <c r="E213" i="2" a="1"/>
  <c r="E213" i="2" s="1"/>
  <c r="E214" i="2" a="1"/>
  <c r="E214" i="2" s="1"/>
  <c r="E215" i="2" a="1"/>
  <c r="E215" i="2" s="1"/>
  <c r="E216" i="2" a="1"/>
  <c r="E216" i="2" s="1"/>
  <c r="E217" i="2" a="1"/>
  <c r="E217" i="2" s="1"/>
  <c r="E218" i="2" a="1"/>
  <c r="E218" i="2" s="1"/>
  <c r="E219" i="2" a="1"/>
  <c r="E219" i="2" s="1"/>
  <c r="E220" i="2" a="1"/>
  <c r="E220" i="2" s="1"/>
  <c r="E221" i="2" a="1"/>
  <c r="E221" i="2" s="1"/>
  <c r="E222" i="2" a="1"/>
  <c r="E222" i="2" s="1"/>
  <c r="E223" i="2" a="1"/>
  <c r="E223" i="2" s="1"/>
  <c r="E224" i="2" a="1"/>
  <c r="E224" i="2" s="1"/>
  <c r="E225" i="2" a="1"/>
  <c r="E225" i="2" s="1"/>
  <c r="E226" i="2" a="1"/>
  <c r="E226" i="2" s="1"/>
  <c r="E227" i="2" a="1"/>
  <c r="E227" i="2" s="1"/>
  <c r="E228" i="2" a="1"/>
  <c r="E228" i="2" s="1"/>
  <c r="E229" i="2" a="1"/>
  <c r="E229" i="2" s="1"/>
  <c r="E230" i="2" a="1"/>
  <c r="E230" i="2" s="1"/>
  <c r="E231" i="2" a="1"/>
  <c r="E231" i="2" s="1"/>
  <c r="E232" i="2" a="1"/>
  <c r="E232" i="2" s="1"/>
  <c r="E233" i="2" a="1"/>
  <c r="E233" i="2" s="1"/>
  <c r="K71" i="2" a="1"/>
  <c r="K71" i="2" s="1"/>
  <c r="K72" i="2" a="1"/>
  <c r="K72" i="2" s="1"/>
  <c r="K73" i="2" a="1"/>
  <c r="K73" i="2" s="1"/>
  <c r="K74" i="2" a="1"/>
  <c r="K74" i="2" s="1"/>
  <c r="K75" i="2" a="1"/>
  <c r="K75" i="2" s="1"/>
  <c r="K76" i="2" a="1"/>
  <c r="K76" i="2" s="1"/>
  <c r="K77" i="2" a="1"/>
  <c r="K77" i="2" s="1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 s="1"/>
  <c r="K84" i="2" a="1"/>
  <c r="K84" i="2" s="1"/>
  <c r="K85" i="2" a="1"/>
  <c r="K85" i="2" s="1"/>
  <c r="K86" i="2" a="1"/>
  <c r="K86" i="2" s="1"/>
  <c r="K87" i="2" a="1"/>
  <c r="K87" i="2" s="1"/>
  <c r="K88" i="2" a="1"/>
  <c r="K88" i="2" s="1"/>
  <c r="K89" i="2" a="1"/>
  <c r="K89" i="2" s="1"/>
  <c r="K90" i="2" a="1"/>
  <c r="K90" i="2" s="1"/>
  <c r="K91" i="2" a="1"/>
  <c r="K91" i="2" s="1"/>
  <c r="K92" i="2" a="1"/>
  <c r="K92" i="2" s="1"/>
  <c r="K93" i="2" a="1"/>
  <c r="K93" i="2" s="1"/>
  <c r="K94" i="2" a="1"/>
  <c r="K94" i="2" s="1"/>
  <c r="K95" i="2" a="1"/>
  <c r="K95" i="2" s="1"/>
  <c r="K96" i="2" a="1"/>
  <c r="K96" i="2" s="1"/>
  <c r="K97" i="2" a="1"/>
  <c r="K97" i="2" s="1"/>
  <c r="K98" i="2" a="1"/>
  <c r="K98" i="2" s="1"/>
  <c r="K99" i="2" a="1"/>
  <c r="K99" i="2" s="1"/>
  <c r="K100" i="2" a="1"/>
  <c r="K100" i="2" s="1"/>
  <c r="K101" i="2" a="1"/>
  <c r="K101" i="2" s="1"/>
  <c r="K102" i="2" a="1"/>
  <c r="K102" i="2" s="1"/>
  <c r="K103" i="2" a="1"/>
  <c r="K103" i="2" s="1"/>
  <c r="K104" i="2" a="1"/>
  <c r="K104" i="2" s="1"/>
  <c r="K105" i="2" a="1"/>
  <c r="K105" i="2" s="1"/>
  <c r="K106" i="2" a="1"/>
  <c r="K106" i="2" s="1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 s="1"/>
  <c r="K114" i="2" a="1"/>
  <c r="K114" i="2" s="1"/>
  <c r="K115" i="2" a="1"/>
  <c r="K115" i="2" s="1"/>
  <c r="K116" i="2" a="1"/>
  <c r="K116" i="2" s="1"/>
  <c r="K117" i="2" a="1"/>
  <c r="K117" i="2" s="1"/>
  <c r="K118" i="2" a="1"/>
  <c r="K118" i="2" s="1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 s="1"/>
  <c r="K125" i="2" a="1"/>
  <c r="K125" i="2" s="1"/>
  <c r="K126" i="2" a="1"/>
  <c r="K126" i="2" s="1"/>
  <c r="K127" i="2" a="1"/>
  <c r="K127" i="2" s="1"/>
  <c r="K128" i="2" a="1"/>
  <c r="K128" i="2" s="1"/>
  <c r="K129" i="2" a="1"/>
  <c r="K129" i="2" s="1"/>
  <c r="K130" i="2" a="1"/>
  <c r="K130" i="2" s="1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 s="1"/>
  <c r="K138" i="2" a="1"/>
  <c r="K138" i="2" s="1"/>
  <c r="K139" i="2" a="1"/>
  <c r="K139" i="2" s="1"/>
  <c r="K140" i="2" a="1"/>
  <c r="K140" i="2" s="1"/>
  <c r="K141" i="2" a="1"/>
  <c r="K141" i="2" s="1"/>
  <c r="K142" i="2" a="1"/>
  <c r="K142" i="2" s="1"/>
  <c r="K143" i="2" a="1"/>
  <c r="K143" i="2" s="1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 s="1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 s="1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 s="1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 s="1"/>
  <c r="K179" i="2" a="1"/>
  <c r="K179" i="2" s="1"/>
  <c r="K180" i="2" a="1"/>
  <c r="K180" i="2" s="1"/>
  <c r="K181" i="2" a="1"/>
  <c r="K181" i="2" s="1"/>
  <c r="K182" i="2" a="1"/>
  <c r="K182" i="2" s="1"/>
  <c r="K183" i="2" a="1"/>
  <c r="K183" i="2" s="1"/>
  <c r="K184" i="2" a="1"/>
  <c r="K184" i="2" s="1"/>
  <c r="K185" i="2" a="1"/>
  <c r="K185" i="2" s="1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 s="1"/>
  <c r="K192" i="2" a="1"/>
  <c r="K192" i="2" s="1"/>
  <c r="K193" i="2" a="1"/>
  <c r="K193" i="2" s="1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 s="1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 s="1"/>
  <c r="K215" i="2" a="1"/>
  <c r="K215" i="2" s="1"/>
  <c r="K216" i="2" a="1"/>
  <c r="K216" i="2" s="1"/>
  <c r="K217" i="2" a="1"/>
  <c r="K217" i="2" s="1"/>
  <c r="K218" i="2" a="1"/>
  <c r="K218" i="2" s="1"/>
  <c r="K219" i="2" a="1"/>
  <c r="K219" i="2" s="1"/>
  <c r="K220" i="2" a="1"/>
  <c r="K220" i="2" s="1"/>
  <c r="K221" i="2" a="1"/>
  <c r="K221" i="2" s="1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51" i="2" a="1"/>
  <c r="K51" i="2" s="1"/>
  <c r="K52" i="2" a="1"/>
  <c r="K52" i="2" s="1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 s="1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 s="1"/>
  <c r="K66" i="2" a="1"/>
  <c r="K66" i="2" s="1"/>
  <c r="K67" i="2" a="1"/>
  <c r="K67" i="2" s="1"/>
  <c r="K68" i="2" a="1"/>
  <c r="K68" i="2" s="1"/>
  <c r="K69" i="2" a="1"/>
  <c r="K69" i="2" s="1"/>
  <c r="K70" i="2" a="1"/>
  <c r="K70" i="2" s="1"/>
  <c r="A11" i="2" a="1"/>
  <c r="M21" i="4" l="1" a="1"/>
  <c r="D21" i="4" a="1"/>
  <c r="D21" i="4" s="1"/>
  <c r="D23" i="4" a="1"/>
  <c r="D23" i="4" s="1"/>
  <c r="D24" i="4" a="1"/>
  <c r="D24" i="4" s="1"/>
  <c r="M22" i="4" a="1"/>
  <c r="M23" i="4" a="1"/>
  <c r="D22" i="4" a="1"/>
  <c r="D22" i="4" s="1"/>
  <c r="M24" i="4" a="1"/>
  <c r="M49" i="4" a="1"/>
  <c r="M49" i="4" s="1"/>
  <c r="M50" i="4" a="1"/>
  <c r="M50" i="4" s="1"/>
  <c r="D50" i="4" a="1"/>
  <c r="D50" i="4" s="1"/>
  <c r="D45" i="4" a="1"/>
  <c r="D45" i="4" s="1"/>
  <c r="D42" i="4" a="1"/>
  <c r="D42" i="4" s="1"/>
  <c r="D46" i="4" a="1"/>
  <c r="D46" i="4" s="1"/>
  <c r="M48" i="4" a="1"/>
  <c r="M46" i="4" a="1"/>
  <c r="M45" i="4" a="1"/>
  <c r="D44" i="4" a="1"/>
  <c r="D44" i="4" s="1"/>
  <c r="D47" i="4" a="1"/>
  <c r="D47" i="4" s="1"/>
  <c r="M47" i="4" a="1"/>
  <c r="D48" i="4" a="1"/>
  <c r="D48" i="4" s="1"/>
  <c r="M44" i="4" a="1"/>
  <c r="M42" i="4" a="1"/>
  <c r="D43" i="4" a="1"/>
  <c r="D43" i="4" s="1"/>
  <c r="M43" i="4" a="1"/>
  <c r="D12" i="4" a="1"/>
  <c r="D12" i="4" s="1"/>
  <c r="D41" i="4" a="1"/>
  <c r="D41" i="4" s="1"/>
  <c r="D40" i="4" a="1"/>
  <c r="D40" i="4" s="1"/>
  <c r="M36" i="4" a="1"/>
  <c r="M39" i="4" a="1"/>
  <c r="D35" i="4" a="1"/>
  <c r="D35" i="4" s="1"/>
  <c r="M40" i="4" a="1"/>
  <c r="M37" i="4" a="1"/>
  <c r="M38" i="4" a="1"/>
  <c r="M41" i="4" a="1"/>
  <c r="M35" i="4" a="1"/>
  <c r="D39" i="4" a="1"/>
  <c r="D39" i="4" s="1"/>
  <c r="D38" i="4" a="1"/>
  <c r="D38" i="4" s="1"/>
  <c r="D37" i="4" a="1"/>
  <c r="D37" i="4" s="1"/>
  <c r="D36" i="4" a="1"/>
  <c r="D36" i="4" s="1"/>
  <c r="D17" i="4" a="1"/>
  <c r="D17" i="4" s="1"/>
  <c r="D15" i="4" a="1"/>
  <c r="D15" i="4" s="1"/>
  <c r="D33" i="4" a="1"/>
  <c r="D33" i="4" s="1"/>
  <c r="D27" i="4" a="1"/>
  <c r="D27" i="4" s="1"/>
  <c r="D32" i="4" a="1"/>
  <c r="D32" i="4" s="1"/>
  <c r="D26" i="4" a="1"/>
  <c r="D26" i="4" s="1"/>
  <c r="D20" i="4" a="1"/>
  <c r="D20" i="4" s="1"/>
  <c r="D14" i="4" a="1"/>
  <c r="D14" i="4" s="1"/>
  <c r="D28" i="4" a="1"/>
  <c r="D28" i="4" s="1"/>
  <c r="D31" i="4" a="1"/>
  <c r="D31" i="4" s="1"/>
  <c r="D25" i="4" a="1"/>
  <c r="D25" i="4" s="1"/>
  <c r="D19" i="4" a="1"/>
  <c r="D19" i="4" s="1"/>
  <c r="D13" i="4" a="1"/>
  <c r="D13" i="4" s="1"/>
  <c r="D29" i="4" a="1"/>
  <c r="D29" i="4" s="1"/>
  <c r="D16" i="4" a="1"/>
  <c r="D16" i="4" s="1"/>
  <c r="D34" i="4" a="1"/>
  <c r="D34" i="4" s="1"/>
  <c r="D30" i="4" a="1"/>
  <c r="D30" i="4" s="1"/>
  <c r="D18" i="4" a="1"/>
  <c r="D18" i="4" s="1"/>
  <c r="M29" i="4" a="1"/>
  <c r="M31" i="4" a="1"/>
  <c r="M17" i="4" a="1"/>
  <c r="M19" i="4" a="1"/>
  <c r="M12" i="4" a="1"/>
  <c r="M18" i="4" a="1"/>
  <c r="M34" i="4" a="1"/>
  <c r="M15" i="4" a="1"/>
  <c r="M27" i="4" a="1"/>
  <c r="M20" i="4" a="1"/>
  <c r="M32" i="4" a="1"/>
  <c r="A11" i="4"/>
  <c r="D11" i="4" s="1" a="1"/>
  <c r="D11" i="4" s="1"/>
  <c r="M13" i="4" a="1"/>
  <c r="M25" i="4" a="1"/>
  <c r="M30" i="4" a="1"/>
  <c r="M16" i="4" a="1"/>
  <c r="M28" i="4" a="1"/>
  <c r="M33" i="4" a="1"/>
  <c r="M14" i="4" a="1"/>
  <c r="M26" i="4" a="1"/>
  <c r="K49" i="2" a="1"/>
  <c r="K49" i="2" s="1"/>
  <c r="E50" i="2" a="1"/>
  <c r="E50" i="2" s="1"/>
  <c r="E49" i="2" a="1"/>
  <c r="E49" i="2" s="1"/>
  <c r="K50" i="2" a="1"/>
  <c r="K50" i="2" s="1"/>
  <c r="E47" i="2" a="1"/>
  <c r="E47" i="2" s="1"/>
  <c r="K48" i="2" a="1"/>
  <c r="E48" i="2" a="1"/>
  <c r="K45" i="2" a="1"/>
  <c r="K45" i="2" s="1"/>
  <c r="K41" i="2" a="1"/>
  <c r="K41" i="2" s="1"/>
  <c r="E42" i="2" a="1"/>
  <c r="E42" i="2" s="1"/>
  <c r="E45" i="2" a="1"/>
  <c r="E45" i="2" s="1"/>
  <c r="E43" i="2" a="1"/>
  <c r="E43" i="2" s="1"/>
  <c r="K39" i="2" a="1"/>
  <c r="K39" i="2" s="1"/>
  <c r="E40" i="2" a="1"/>
  <c r="E40" i="2" s="1"/>
  <c r="K38" i="2" a="1"/>
  <c r="K38" i="2" s="1"/>
  <c r="E39" i="2" a="1"/>
  <c r="E39" i="2" s="1"/>
  <c r="K37" i="2" a="1"/>
  <c r="K37" i="2" s="1"/>
  <c r="E38" i="2" a="1"/>
  <c r="E38" i="2" s="1"/>
  <c r="K36" i="2" a="1"/>
  <c r="K36" i="2" s="1"/>
  <c r="E37" i="2" a="1"/>
  <c r="E37" i="2" s="1"/>
  <c r="K47" i="2" a="1"/>
  <c r="K47" i="2" s="1"/>
  <c r="E36" i="2" a="1"/>
  <c r="E36" i="2" s="1"/>
  <c r="E46" i="2" a="1"/>
  <c r="E46" i="2" s="1"/>
  <c r="K44" i="2" a="1"/>
  <c r="K44" i="2" s="1"/>
  <c r="K43" i="2" a="1"/>
  <c r="K43" i="2" s="1"/>
  <c r="E44" i="2" a="1"/>
  <c r="E44" i="2" s="1"/>
  <c r="K42" i="2" a="1"/>
  <c r="K42" i="2" s="1"/>
  <c r="K40" i="2" a="1"/>
  <c r="K40" i="2" s="1"/>
  <c r="E41" i="2" a="1"/>
  <c r="E41" i="2" s="1"/>
  <c r="K46" i="2" a="1"/>
  <c r="K46" i="2" s="1"/>
  <c r="E35" i="2" a="1"/>
  <c r="E35" i="2" s="1"/>
  <c r="K35" i="2" a="1"/>
  <c r="K35" i="2" s="1"/>
  <c r="K34" i="2" a="1"/>
  <c r="K34" i="2" s="1"/>
  <c r="E34" i="2" a="1"/>
  <c r="A11" i="2"/>
  <c r="E12" i="2" a="1"/>
  <c r="E13" i="2" a="1"/>
  <c r="E25" i="2" a="1"/>
  <c r="K22" i="2" a="1"/>
  <c r="K22" i="2" s="1"/>
  <c r="E26" i="2" a="1"/>
  <c r="K23" i="2" a="1"/>
  <c r="K23" i="2" s="1"/>
  <c r="E27" i="2" a="1"/>
  <c r="K12" i="2" a="1"/>
  <c r="K12" i="2" s="1"/>
  <c r="K24" i="2" a="1"/>
  <c r="K24" i="2" s="1"/>
  <c r="E28" i="2" a="1"/>
  <c r="E14" i="2" a="1"/>
  <c r="E15" i="2" a="1"/>
  <c r="K21" i="2" a="1"/>
  <c r="K21" i="2" s="1"/>
  <c r="K32" i="2" a="1"/>
  <c r="K32" i="2" s="1"/>
  <c r="E23" i="2" a="1"/>
  <c r="E22" i="2" a="1"/>
  <c r="K31" i="2" a="1"/>
  <c r="K31" i="2" s="1"/>
  <c r="E33" i="2" a="1"/>
  <c r="E21" i="2" a="1"/>
  <c r="K13" i="2" a="1"/>
  <c r="K13" i="2" s="1"/>
  <c r="K19" i="2" a="1"/>
  <c r="K19" i="2" s="1"/>
  <c r="K18" i="2" a="1"/>
  <c r="K18" i="2" s="1"/>
  <c r="K29" i="2" a="1"/>
  <c r="K29" i="2" s="1"/>
  <c r="E20" i="2" a="1"/>
  <c r="E32" i="2" a="1"/>
  <c r="K28" i="2" a="1"/>
  <c r="K28" i="2" s="1"/>
  <c r="K16" i="2" a="1"/>
  <c r="K16" i="2" s="1"/>
  <c r="E31" i="2" a="1"/>
  <c r="E19" i="2" a="1"/>
  <c r="K25" i="2" a="1"/>
  <c r="K25" i="2" s="1"/>
  <c r="K33" i="2" a="1"/>
  <c r="K33" i="2" s="1"/>
  <c r="E24" i="2" a="1"/>
  <c r="K27" i="2" a="1"/>
  <c r="K27" i="2" s="1"/>
  <c r="K15" i="2" a="1"/>
  <c r="K15" i="2" s="1"/>
  <c r="E30" i="2" a="1"/>
  <c r="E18" i="2" a="1"/>
  <c r="K20" i="2" a="1"/>
  <c r="K20" i="2" s="1"/>
  <c r="K30" i="2" a="1"/>
  <c r="K30" i="2" s="1"/>
  <c r="K17" i="2" a="1"/>
  <c r="K17" i="2" s="1"/>
  <c r="K26" i="2" a="1"/>
  <c r="K26" i="2" s="1"/>
  <c r="K14" i="2" a="1"/>
  <c r="K14" i="2" s="1"/>
  <c r="E29" i="2" a="1"/>
  <c r="E17" i="2" a="1"/>
  <c r="E16" i="2" a="1"/>
  <c r="M21" i="4" l="1"/>
  <c r="M24" i="4"/>
  <c r="M23" i="4"/>
  <c r="M22" i="4"/>
  <c r="M43" i="4"/>
  <c r="M42" i="4"/>
  <c r="M44" i="4"/>
  <c r="M47" i="4"/>
  <c r="M45" i="4"/>
  <c r="M46" i="4"/>
  <c r="M48" i="4"/>
  <c r="M41" i="4"/>
  <c r="M35" i="4"/>
  <c r="M38" i="4"/>
  <c r="M37" i="4"/>
  <c r="M40" i="4"/>
  <c r="M39" i="4"/>
  <c r="M36" i="4"/>
  <c r="M18" i="4"/>
  <c r="M12" i="4"/>
  <c r="M19" i="4"/>
  <c r="M17" i="4"/>
  <c r="M29" i="4"/>
  <c r="M31" i="4"/>
  <c r="M33" i="4"/>
  <c r="M11" i="4" a="1"/>
  <c r="C42" i="4" s="1"/>
  <c r="M28" i="4"/>
  <c r="M32" i="4"/>
  <c r="M16" i="4"/>
  <c r="M20" i="4"/>
  <c r="M27" i="4"/>
  <c r="M30" i="4"/>
  <c r="M15" i="4"/>
  <c r="M26" i="4"/>
  <c r="M25" i="4"/>
  <c r="M34" i="4"/>
  <c r="M14" i="4"/>
  <c r="M13" i="4"/>
  <c r="E48" i="2"/>
  <c r="K48" i="2"/>
  <c r="E29" i="2"/>
  <c r="E33" i="2"/>
  <c r="E31" i="2"/>
  <c r="E32" i="2"/>
  <c r="E30" i="2"/>
  <c r="E34" i="2"/>
  <c r="E14" i="2"/>
  <c r="E28" i="2"/>
  <c r="E24" i="2"/>
  <c r="E16" i="2"/>
  <c r="E17" i="2"/>
  <c r="E21" i="2"/>
  <c r="E27" i="2"/>
  <c r="E19" i="2"/>
  <c r="E26" i="2"/>
  <c r="E22" i="2"/>
  <c r="E23" i="2"/>
  <c r="E25" i="2"/>
  <c r="E13" i="2"/>
  <c r="E12" i="2"/>
  <c r="E18" i="2"/>
  <c r="E20" i="2"/>
  <c r="E15" i="2"/>
  <c r="K11" i="2" a="1"/>
  <c r="K11" i="2" s="1"/>
  <c r="E11" i="2" a="1"/>
  <c r="B8" i="2" s="1"/>
  <c r="C22" i="4" l="1"/>
  <c r="C23" i="4"/>
  <c r="C24" i="4"/>
  <c r="C21" i="4"/>
  <c r="C47" i="4"/>
  <c r="C48" i="4"/>
  <c r="C44" i="4"/>
  <c r="C46" i="4"/>
  <c r="C43" i="4"/>
  <c r="C45" i="4"/>
  <c r="C17" i="4"/>
  <c r="C41" i="4"/>
  <c r="C18" i="4"/>
  <c r="C20" i="4"/>
  <c r="C11" i="4"/>
  <c r="C34" i="4"/>
  <c r="C35" i="4"/>
  <c r="C28" i="4"/>
  <c r="C33" i="4"/>
  <c r="C36" i="4"/>
  <c r="C25" i="4"/>
  <c r="C37" i="4"/>
  <c r="C26" i="4"/>
  <c r="C38" i="4"/>
  <c r="C40" i="4"/>
  <c r="C27" i="4"/>
  <c r="C39" i="4"/>
  <c r="C29" i="4"/>
  <c r="C30" i="4"/>
  <c r="C31" i="4"/>
  <c r="C32" i="4"/>
  <c r="C19" i="4"/>
  <c r="C15" i="4"/>
  <c r="C13" i="4"/>
  <c r="C14" i="4"/>
  <c r="C12" i="4"/>
  <c r="C16" i="4"/>
  <c r="B7" i="4"/>
  <c r="M11" i="4"/>
  <c r="B8" i="4"/>
  <c r="O8" i="2"/>
  <c r="Q8" i="2"/>
  <c r="P8" i="2"/>
  <c r="N8" i="2"/>
  <c r="M8" i="2"/>
  <c r="L8" i="2"/>
  <c r="K8" i="2"/>
  <c r="B7" i="2"/>
  <c r="C42" i="2"/>
  <c r="C44" i="2"/>
  <c r="C46" i="2"/>
  <c r="C43" i="2"/>
  <c r="C45" i="2"/>
  <c r="C47" i="2"/>
  <c r="C21" i="2"/>
  <c r="C14" i="2"/>
  <c r="C20" i="2"/>
  <c r="C18" i="2"/>
  <c r="C17" i="2"/>
  <c r="C12" i="2"/>
  <c r="C19" i="2"/>
  <c r="C13" i="2"/>
  <c r="C11" i="2"/>
  <c r="C22" i="2"/>
  <c r="C34" i="2"/>
  <c r="C36" i="2"/>
  <c r="C37" i="2"/>
  <c r="C26" i="2"/>
  <c r="C38" i="2"/>
  <c r="C31" i="2"/>
  <c r="C33" i="2"/>
  <c r="C23" i="2"/>
  <c r="C35" i="2"/>
  <c r="C24" i="2"/>
  <c r="C25" i="2"/>
  <c r="C27" i="2"/>
  <c r="C39" i="2"/>
  <c r="C28" i="2"/>
  <c r="C40" i="2"/>
  <c r="C29" i="2"/>
  <c r="C30" i="2"/>
  <c r="C32" i="2"/>
  <c r="C41" i="2"/>
  <c r="C15" i="2"/>
  <c r="C16" i="2"/>
  <c r="E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<sst xmlns="http://schemas.openxmlformats.org/spreadsheetml/2006/main" count="1484" uniqueCount="237">
  <si>
    <t>Username</t>
  </si>
  <si>
    <t>First Name</t>
  </si>
  <si>
    <t>Last Name</t>
  </si>
  <si>
    <t>Email</t>
  </si>
  <si>
    <t>Phone</t>
  </si>
  <si>
    <t>No. Of Correct Answers</t>
  </si>
  <si>
    <t>No. Of incorrect Answers</t>
  </si>
  <si>
    <t>No. Of unanswered Questions</t>
  </si>
  <si>
    <t>Time Taken</t>
  </si>
  <si>
    <t>Raw Score</t>
  </si>
  <si>
    <t>Percentage</t>
  </si>
  <si>
    <t>Batch</t>
  </si>
  <si>
    <t>Start Date</t>
  </si>
  <si>
    <t>End Date</t>
  </si>
  <si>
    <t>Location</t>
  </si>
  <si>
    <t>Access Code</t>
  </si>
  <si>
    <t>Exam Mode</t>
  </si>
  <si>
    <t>Mathematics Score</t>
  </si>
  <si>
    <t>No. Of incorrect Answers in Mathematics</t>
  </si>
  <si>
    <t>No. Of correct Answers in Mathematics</t>
  </si>
  <si>
    <t>Physics Score</t>
  </si>
  <si>
    <t>No. Of incorrect Answers in Physics</t>
  </si>
  <si>
    <t>No. Of correct Answers in Physics</t>
  </si>
  <si>
    <t>Chemistry Score</t>
  </si>
  <si>
    <t>No. Of incorrect Answers in Chemistry</t>
  </si>
  <si>
    <t>No. Of correct Answers in Chemistry</t>
  </si>
  <si>
    <t>Online</t>
  </si>
  <si>
    <t>Select Batch</t>
  </si>
  <si>
    <t>N_G8_TULIPS</t>
  </si>
  <si>
    <t>NEO GEETANJALI SCHOOLS</t>
  </si>
  <si>
    <t>IIT FOUNDATION EXAM-01</t>
  </si>
  <si>
    <t>Class</t>
  </si>
  <si>
    <t>BRANCH</t>
  </si>
  <si>
    <t>Average %</t>
  </si>
  <si>
    <t>Average Marks</t>
  </si>
  <si>
    <t xml:space="preserve">Average Marks: </t>
  </si>
  <si>
    <t>Class Rank</t>
  </si>
  <si>
    <t>OVERALL</t>
  </si>
  <si>
    <t>Mathematics</t>
  </si>
  <si>
    <t>Physics</t>
  </si>
  <si>
    <t>Chemistry</t>
  </si>
  <si>
    <t>NGS
Rank</t>
  </si>
  <si>
    <t>CORRECT</t>
  </si>
  <si>
    <t>INCORRECT</t>
  </si>
  <si>
    <t>UN-ANSWERED</t>
  </si>
  <si>
    <t>Score</t>
  </si>
  <si>
    <t>%</t>
  </si>
  <si>
    <t>MATHS</t>
  </si>
  <si>
    <t>PHY</t>
  </si>
  <si>
    <t>CHEM</t>
  </si>
  <si>
    <t>Name</t>
  </si>
  <si>
    <t>RANK</t>
  </si>
  <si>
    <t>Maximum Marks</t>
  </si>
  <si>
    <t>23NGS0265</t>
  </si>
  <si>
    <t>S. NAGA SRI SAI KUTHRIK</t>
  </si>
  <si>
    <t>P_G6_DAFFFODILS</t>
  </si>
  <si>
    <t>25NGS0067</t>
  </si>
  <si>
    <t>ALLU SAI RUTHIKA</t>
  </si>
  <si>
    <t>23NGS0209</t>
  </si>
  <si>
    <t>BALLEPU ASHRITH</t>
  </si>
  <si>
    <t>P_G6_TULIPS</t>
  </si>
  <si>
    <t>25NGS0225</t>
  </si>
  <si>
    <t>ADAPA ADITYA KARTHIK</t>
  </si>
  <si>
    <t>22NGS0040</t>
  </si>
  <si>
    <t>VEEKSHA MADEPALLI</t>
  </si>
  <si>
    <t>22NGS0041</t>
  </si>
  <si>
    <t>Charanveer</t>
  </si>
  <si>
    <t>22NGS0459</t>
  </si>
  <si>
    <t>KONEDI GOUTAM</t>
  </si>
  <si>
    <t>P_G6_IRIS</t>
  </si>
  <si>
    <t>23NGS0333</t>
  </si>
  <si>
    <t>LAKSHMI POOJA MURARISETTY</t>
  </si>
  <si>
    <t>24NGS0243</t>
  </si>
  <si>
    <t>M. SATHVIK REDDY</t>
  </si>
  <si>
    <t>24NGS0307</t>
  </si>
  <si>
    <t>YANAMALA VENKATA MOKSHITH REDDY</t>
  </si>
  <si>
    <t>22NGS0186</t>
  </si>
  <si>
    <t>SHANVITHA REDDY MADAPALLY</t>
  </si>
  <si>
    <t>22NGS0176</t>
  </si>
  <si>
    <t>ROHITH KUMAR PADARTHI</t>
  </si>
  <si>
    <t>23NGS0327</t>
  </si>
  <si>
    <t>CHILUVERI SRIVALLI</t>
  </si>
  <si>
    <t>23NGS0105</t>
  </si>
  <si>
    <t>D. RUDHVI</t>
  </si>
  <si>
    <t>25NGS0148</t>
  </si>
  <si>
    <t>MANTHINA YASHWANTH CHARAN</t>
  </si>
  <si>
    <t>23NGS0154</t>
  </si>
  <si>
    <t>T. SRI ROOPA</t>
  </si>
  <si>
    <t>23NGS0276</t>
  </si>
  <si>
    <t>KANAGALA CHARANI SRI</t>
  </si>
  <si>
    <t>24NGS0384</t>
  </si>
  <si>
    <t>CH MAHIDAR</t>
  </si>
  <si>
    <t>22NGS0179</t>
  </si>
  <si>
    <t>PALURI KEERTHANA LAKSHMI</t>
  </si>
  <si>
    <t>23NGS0027</t>
  </si>
  <si>
    <t>MANDA ARJUN KARTHIKEYA</t>
  </si>
  <si>
    <t>25NGS0050</t>
  </si>
  <si>
    <t>MAALE SUDHESHNA REDDY</t>
  </si>
  <si>
    <t>22NGS0286</t>
  </si>
  <si>
    <t>DOODALA TESHMITA</t>
  </si>
  <si>
    <t>25NGS0215</t>
  </si>
  <si>
    <t>SAYINI JAANAKI VISWANATH</t>
  </si>
  <si>
    <t>24NGS0188</t>
  </si>
  <si>
    <t>LANKA YASWANTH</t>
  </si>
  <si>
    <t>24NGS0303</t>
  </si>
  <si>
    <t>KADIRI DEEKSHITH REDDY</t>
  </si>
  <si>
    <t>22NGS0188</t>
  </si>
  <si>
    <t>SOMIREDDY MIDHUNA REDDY</t>
  </si>
  <si>
    <t>24NGS0063</t>
  </si>
  <si>
    <t>DUGGARASI HARSHIKA</t>
  </si>
  <si>
    <t>24NGS0254</t>
  </si>
  <si>
    <t>THANISH RAM KANCHARLA</t>
  </si>
  <si>
    <t>25NGS0041</t>
  </si>
  <si>
    <t>LELLA VYSHNAVI</t>
  </si>
  <si>
    <t>22NGS0184</t>
  </si>
  <si>
    <t>T PRATHIMA DEEPSHIKA REDDY</t>
  </si>
  <si>
    <t>25NGS0283</t>
  </si>
  <si>
    <t>MADHULIKA JAVVAJI</t>
  </si>
  <si>
    <t>22NGS0287</t>
  </si>
  <si>
    <t>K LOKESH REDDY</t>
  </si>
  <si>
    <t>25NGS0203</t>
  </si>
  <si>
    <t>BHUJEL ANVI</t>
  </si>
  <si>
    <t>25NGS0121</t>
  </si>
  <si>
    <t>SHANVIKA BOKKA</t>
  </si>
  <si>
    <t>22NGS0232</t>
  </si>
  <si>
    <t>HARSHIT REDDY POTHU</t>
  </si>
  <si>
    <t>22NGS0370</t>
  </si>
  <si>
    <t>SAGI DEVI DEDEEPYA</t>
  </si>
  <si>
    <t>25NGS0194</t>
  </si>
  <si>
    <t>KANDREGULA PRATHYUSHA</t>
  </si>
  <si>
    <t>23NGS0097</t>
  </si>
  <si>
    <t>DEETI KAUSHIKI</t>
  </si>
  <si>
    <t>22NGS0185</t>
  </si>
  <si>
    <t>REYANSH NUSETTI</t>
  </si>
  <si>
    <t>24NGS0271</t>
  </si>
  <si>
    <t>B. HARDIK</t>
  </si>
  <si>
    <t>25NGS0167</t>
  </si>
  <si>
    <t>POCHAMPALLY RITHVIKA</t>
  </si>
  <si>
    <t>22NGS0044</t>
  </si>
  <si>
    <t>Keerthan KUDURUPAKA</t>
  </si>
  <si>
    <t>25NGS0246</t>
  </si>
  <si>
    <t>D SAAI RAM CHOWDARY</t>
  </si>
  <si>
    <t>22NGS0051</t>
  </si>
  <si>
    <t>Shanvitha I</t>
  </si>
  <si>
    <t>22NGS0055</t>
  </si>
  <si>
    <t>Lasya sree M</t>
  </si>
  <si>
    <t>25NGS0046</t>
  </si>
  <si>
    <t>ABISHAI GORREPATI</t>
  </si>
  <si>
    <t>25NGSN6004</t>
  </si>
  <si>
    <t>CHETNA SOMBHOTLA</t>
  </si>
  <si>
    <t>N_G6_TULIPS</t>
  </si>
  <si>
    <t>25NGSN618</t>
  </si>
  <si>
    <t>G. Sai Vineeth</t>
  </si>
  <si>
    <t>25NGSN613</t>
  </si>
  <si>
    <t>Ch.V.S Hanvitha</t>
  </si>
  <si>
    <t>25NGSN6005</t>
  </si>
  <si>
    <t>KARAPALA KARTHIKA</t>
  </si>
  <si>
    <t>25NGSN6001</t>
  </si>
  <si>
    <t>AAHIL MOHAMMED</t>
  </si>
  <si>
    <t>25NGSN6013</t>
  </si>
  <si>
    <t>STEENA VANESSA PARISAPOGU</t>
  </si>
  <si>
    <t>25NGSN608</t>
  </si>
  <si>
    <t>P NIRVIGNA</t>
  </si>
  <si>
    <t>25NGSN607</t>
  </si>
  <si>
    <t>VENKATA KALYANI DUDDU</t>
  </si>
  <si>
    <t>25NGSN610</t>
  </si>
  <si>
    <t>REMALLI LAASYA SRI</t>
  </si>
  <si>
    <t>25NGS0083</t>
  </si>
  <si>
    <t>SAMMANU VARSHITHA</t>
  </si>
  <si>
    <t>25NGSN617</t>
  </si>
  <si>
    <t>A. Vedick</t>
  </si>
  <si>
    <t>24NGS0144</t>
  </si>
  <si>
    <t>B.R. CHARANI</t>
  </si>
  <si>
    <t>23NGS0136</t>
  </si>
  <si>
    <t>S. SHASHI TARAKA RAM</t>
  </si>
  <si>
    <t>24NGS0089</t>
  </si>
  <si>
    <t>MAILAPALLI AASHRITHA SIRI</t>
  </si>
  <si>
    <t>23NGS0094</t>
  </si>
  <si>
    <t>SAMARTH PRASAD</t>
  </si>
  <si>
    <t>22NGS0458</t>
  </si>
  <si>
    <t>A AKSHAY</t>
  </si>
  <si>
    <t>25NGS0247</t>
  </si>
  <si>
    <t>N DEEKSHITHA REDDY</t>
  </si>
  <si>
    <t>25NGSN6003</t>
  </si>
  <si>
    <t>BHARGAVI DUBBA</t>
  </si>
  <si>
    <t>25NGSN6009</t>
  </si>
  <si>
    <t>PRIYANKA SANI</t>
  </si>
  <si>
    <t>24NGS0060</t>
  </si>
  <si>
    <t>BARRI SARANYASRI</t>
  </si>
  <si>
    <t>22NGS0182</t>
  </si>
  <si>
    <t>D SAANVIKA</t>
  </si>
  <si>
    <t>22NGS0048</t>
  </si>
  <si>
    <t>Dhruti P</t>
  </si>
  <si>
    <t>22NGS0582</t>
  </si>
  <si>
    <t>KAKARAPARTI RISHITHA SRI</t>
  </si>
  <si>
    <t>25NGS0207</t>
  </si>
  <si>
    <t>ORUGANTI DEEPAK</t>
  </si>
  <si>
    <t>23NGS0248</t>
  </si>
  <si>
    <t>P. SAI MANASWINI</t>
  </si>
  <si>
    <t>22NGS0187</t>
  </si>
  <si>
    <t>THALLA PRANAY KUMAR</t>
  </si>
  <si>
    <t>25NGS0195</t>
  </si>
  <si>
    <t>A AMAAYA SARMA</t>
  </si>
  <si>
    <t>23NGS0078</t>
  </si>
  <si>
    <t>CHINTHALA HARSHITHA</t>
  </si>
  <si>
    <t>24NGS0172</t>
  </si>
  <si>
    <t>CHITTIPOLU AASHRITH</t>
  </si>
  <si>
    <t>22NGS0045</t>
  </si>
  <si>
    <t>DHAATRI BOINAPALLY</t>
  </si>
  <si>
    <t>22NGS0329</t>
  </si>
  <si>
    <t>ETIKYALA SAHASRA</t>
  </si>
  <si>
    <t>22NGS0043</t>
  </si>
  <si>
    <t>Hrushikesh Gowtham</t>
  </si>
  <si>
    <t>23NGS0074</t>
  </si>
  <si>
    <t>I. CHANDRA HARSHA VARMA</t>
  </si>
  <si>
    <t>23NGS0263</t>
  </si>
  <si>
    <t>K. KHATWAMGIN</t>
  </si>
  <si>
    <t>24NGS0024</t>
  </si>
  <si>
    <t>KOTTHINTI SUPREETHI</t>
  </si>
  <si>
    <t>23NGS0403</t>
  </si>
  <si>
    <t>NARNI VARSHINI</t>
  </si>
  <si>
    <t>24NGS0273</t>
  </si>
  <si>
    <t>NIHIRA VUTUKURI</t>
  </si>
  <si>
    <t>22NGS0177</t>
  </si>
  <si>
    <t>TULASIRAM RAVILLA</t>
  </si>
  <si>
    <t>24NGS0266</t>
  </si>
  <si>
    <t>D. DHAARMIK</t>
  </si>
  <si>
    <t>23NGS0185</t>
  </si>
  <si>
    <t>NALLAPATI SAI SHREYAS</t>
  </si>
  <si>
    <t>23NGS0367</t>
  </si>
  <si>
    <t>NIMMALA ARNAV REDDY</t>
  </si>
  <si>
    <t>25NGS0104</t>
  </si>
  <si>
    <t>POTHURI VENNELA SATYA SRI</t>
  </si>
  <si>
    <t>24NGS0351</t>
  </si>
  <si>
    <t>RUPA SAHASRA JAMPANA</t>
  </si>
  <si>
    <t>AB</t>
  </si>
  <si>
    <t>IIT FOUNDATION - 12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</si>
</sst>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6"/>
      <color rgb="FFFFFF00"/>
      <name val="Aptos Narrow"/>
      <family val="2"/>
      <scheme val="minor"/>
    </font>
    <font>
      <b/>
      <sz val="18"/>
      <color rgb="FFFFFF00"/>
      <name val="Aptos Narrow"/>
      <family val="2"/>
      <scheme val="minor"/>
    </font>
    <font>
      <b/>
      <sz val="20"/>
      <color rgb="FFFFFF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2"/>
      <color rgb="FF0000FF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6"/>
      <color rgb="FF00B050"/>
      <name val="Aptos Narrow"/>
      <family val="2"/>
      <scheme val="minor"/>
    </font>
    <font>
      <b/>
      <sz val="20"/>
      <color rgb="FF7030A0"/>
      <name val="Aptos Narrow"/>
      <family val="2"/>
      <scheme val="minor"/>
    </font>
    <font>
      <b/>
      <sz val="24"/>
      <color rgb="FF002060"/>
      <name val="Aptos Narrow"/>
      <family val="2"/>
      <scheme val="minor"/>
    </font>
    <font>
      <b/>
      <sz val="18"/>
      <color theme="8"/>
      <name val="Aptos Narrow"/>
      <family val="2"/>
      <scheme val="minor"/>
    </font>
    <font>
      <b/>
      <sz val="18"/>
      <color rgb="FFC0000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26"/>
      <color rgb="FFC00000"/>
      <name val="Aptos Narrow"/>
      <family val="2"/>
      <scheme val="minor"/>
    </font>
    <font>
      <b/>
      <sz val="56"/>
      <color theme="1"/>
      <name val="Aptos Narrow"/>
      <family val="2"/>
      <scheme val="minor"/>
    </font>
    <font>
      <b/>
      <sz val="22"/>
      <color rgb="FFC00000"/>
      <name val="Aptos Narrow"/>
      <family val="2"/>
      <scheme val="minor"/>
    </font>
    <font>
      <b/>
      <sz val="24"/>
      <color rgb="FF0070C0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24"/>
      <color theme="8" tint="-0.249977111117893"/>
      <name val="Aptos Narrow"/>
      <family val="2"/>
      <scheme val="minor"/>
    </font>
    <font>
      <b/>
      <sz val="24"/>
      <color rgb="FF0000FF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4"/>
      <color rgb="FF00B050"/>
      <name val="Aptos Narrow"/>
      <family val="2"/>
      <scheme val="minor"/>
    </font>
    <font>
      <b/>
      <sz val="24"/>
      <color theme="5" tint="-0.499984740745262"/>
      <name val="Aptos Narrow"/>
      <family val="2"/>
      <scheme val="minor"/>
    </font>
    <font>
      <b/>
      <sz val="20"/>
      <color theme="7" tint="-0.499984740745262"/>
      <name val="Aptos Narrow"/>
      <family val="2"/>
      <scheme val="minor"/>
    </font>
    <font>
      <b/>
      <sz val="20"/>
      <color rgb="FF0000FF"/>
      <name val="Aptos Narrow"/>
      <family val="2"/>
      <scheme val="minor"/>
    </font>
    <font>
      <b/>
      <i/>
      <sz val="20"/>
      <color rgb="FF0070C0"/>
      <name val="Aptos Narrow"/>
      <family val="2"/>
      <scheme val="minor"/>
    </font>
    <font>
      <b/>
      <sz val="26"/>
      <color rgb="FF0000FF"/>
      <name val="Aptos Narrow"/>
      <family val="2"/>
      <scheme val="minor"/>
    </font>
    <font>
      <b/>
      <sz val="14"/>
      <color theme="8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36"/>
      <color rgb="FFC00000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9">
    <xf numFmtId="0" fontId="0" fillId="0" borderId="0" xfId="0"/>
    <xf numFmtId="21" fontId="0" fillId="0" borderId="0" xfId="0" applyNumberFormat="1"/>
    <xf numFmtId="22" fontId="0" fillId="0" borderId="0" xfId="0" applyNumberFormat="1"/>
    <xf numFmtId="0" fontId="0" fillId="0" borderId="0" xfId="0" applyAlignment="1">
      <alignment vertical="center"/>
    </xf>
    <xf numFmtId="0" fontId="20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9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6" fillId="35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5" fillId="35" borderId="10" xfId="0" applyFont="1" applyFill="1" applyBorder="1" applyAlignment="1">
      <alignment horizontal="center" vertical="center" wrapText="1"/>
    </xf>
    <xf numFmtId="0" fontId="26" fillId="35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34" fillId="0" borderId="10" xfId="0" applyNumberFormat="1" applyFont="1" applyBorder="1" applyAlignment="1">
      <alignment horizontal="center" vertical="center"/>
    </xf>
    <xf numFmtId="0" fontId="35" fillId="35" borderId="10" xfId="0" applyFont="1" applyFill="1" applyBorder="1" applyAlignment="1">
      <alignment horizontal="center" vertical="center" wrapText="1"/>
    </xf>
    <xf numFmtId="0" fontId="36" fillId="35" borderId="10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left" vertical="center"/>
    </xf>
    <xf numFmtId="0" fontId="23" fillId="39" borderId="10" xfId="0" applyFont="1" applyFill="1" applyBorder="1" applyAlignment="1">
      <alignment horizontal="center" vertical="center" wrapText="1"/>
    </xf>
    <xf numFmtId="0" fontId="27" fillId="33" borderId="0" xfId="0" applyFont="1" applyFill="1" applyAlignment="1">
      <alignment vertical="center"/>
    </xf>
    <xf numFmtId="0" fontId="40" fillId="33" borderId="0" xfId="0" applyFont="1" applyFill="1" applyAlignment="1">
      <alignment horizontal="center" vertical="center"/>
    </xf>
    <xf numFmtId="0" fontId="37" fillId="35" borderId="10" xfId="0" applyFont="1" applyFill="1" applyBorder="1" applyAlignment="1">
      <alignment horizontal="center" vertical="center" wrapText="1"/>
    </xf>
    <xf numFmtId="1" fontId="41" fillId="33" borderId="10" xfId="0" applyNumberFormat="1" applyFont="1" applyFill="1" applyBorder="1" applyAlignment="1">
      <alignment horizontal="center" vertical="center"/>
    </xf>
    <xf numFmtId="1" fontId="42" fillId="33" borderId="10" xfId="0" applyNumberFormat="1" applyFont="1" applyFill="1" applyBorder="1" applyAlignment="1">
      <alignment horizontal="center" vertical="center"/>
    </xf>
    <xf numFmtId="1" fontId="43" fillId="33" borderId="10" xfId="0" applyNumberFormat="1" applyFont="1" applyFill="1" applyBorder="1" applyAlignment="1">
      <alignment horizontal="center" vertical="center"/>
    </xf>
    <xf numFmtId="1" fontId="34" fillId="33" borderId="10" xfId="0" applyNumberFormat="1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45" fillId="0" borderId="10" xfId="0" applyFont="1" applyBorder="1"/>
    <xf numFmtId="0" fontId="47" fillId="0" borderId="10" xfId="0" applyFont="1" applyBorder="1" applyAlignment="1">
      <alignment horizontal="center" vertical="center"/>
    </xf>
    <xf numFmtId="0" fontId="26" fillId="0" borderId="0" xfId="0" applyFont="1" applyAlignment="1">
      <alignment horizontal="left" vertical="top"/>
    </xf>
    <xf numFmtId="0" fontId="48" fillId="0" borderId="0" xfId="0" applyFont="1" applyAlignment="1">
      <alignment horizontal="left" vertical="top"/>
    </xf>
    <xf numFmtId="0" fontId="49" fillId="0" borderId="0" xfId="0" applyFont="1" applyAlignment="1">
      <alignment horizontal="left" vertical="top"/>
    </xf>
    <xf numFmtId="0" fontId="26" fillId="0" borderId="0" xfId="0" applyFont="1" applyAlignment="1">
      <alignment horizontal="left" vertical="center"/>
    </xf>
    <xf numFmtId="1" fontId="31" fillId="0" borderId="0" xfId="0" applyNumberFormat="1" applyFont="1" applyAlignment="1">
      <alignment horizontal="left" vertical="center"/>
    </xf>
    <xf numFmtId="0" fontId="28" fillId="0" borderId="11" xfId="0" applyFont="1" applyBorder="1" applyAlignment="1">
      <alignment vertical="center"/>
    </xf>
    <xf numFmtId="0" fontId="28" fillId="0" borderId="12" xfId="0" applyFont="1" applyBorder="1" applyAlignment="1">
      <alignment vertical="center"/>
    </xf>
    <xf numFmtId="0" fontId="25" fillId="41" borderId="10" xfId="0" applyFont="1" applyFill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 wrapText="1"/>
    </xf>
    <xf numFmtId="0" fontId="5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48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23" fillId="42" borderId="10" xfId="0" applyFont="1" applyFill="1" applyBorder="1" applyAlignment="1">
      <alignment horizontal="center" vertical="center" wrapText="1"/>
    </xf>
    <xf numFmtId="0" fontId="53" fillId="36" borderId="10" xfId="0" applyFont="1" applyFill="1" applyBorder="1" applyAlignment="1">
      <alignment horizontal="center" vertical="center" wrapText="1"/>
    </xf>
    <xf numFmtId="1" fontId="29" fillId="0" borderId="10" xfId="0" applyNumberFormat="1" applyFont="1" applyBorder="1" applyAlignment="1">
      <alignment horizontal="center" vertical="center"/>
    </xf>
    <xf numFmtId="0" fontId="50" fillId="40" borderId="10" xfId="0" applyFont="1" applyFill="1" applyBorder="1" applyAlignment="1">
      <alignment horizontal="center" vertical="center" wrapText="1"/>
    </xf>
    <xf numFmtId="0" fontId="32" fillId="35" borderId="10" xfId="0" applyFont="1" applyFill="1" applyBorder="1" applyAlignment="1">
      <alignment horizontal="center" vertical="center"/>
    </xf>
    <xf numFmtId="0" fontId="42" fillId="35" borderId="10" xfId="0" applyFont="1" applyFill="1" applyBorder="1" applyAlignment="1">
      <alignment horizontal="center" vertical="center"/>
    </xf>
    <xf numFmtId="0" fontId="47" fillId="35" borderId="10" xfId="0" applyFont="1" applyFill="1" applyBorder="1" applyAlignment="1">
      <alignment horizontal="center" vertical="center"/>
    </xf>
    <xf numFmtId="0" fontId="30" fillId="35" borderId="10" xfId="0" applyFont="1" applyFill="1" applyBorder="1" applyAlignment="1">
      <alignment horizontal="center" vertical="center"/>
    </xf>
    <xf numFmtId="0" fontId="46" fillId="35" borderId="10" xfId="0" applyFont="1" applyFill="1" applyBorder="1" applyAlignment="1">
      <alignment horizontal="center" vertical="center"/>
    </xf>
    <xf numFmtId="0" fontId="28" fillId="35" borderId="10" xfId="0" applyFont="1" applyFill="1" applyBorder="1" applyAlignment="1">
      <alignment horizontal="center" vertical="center"/>
    </xf>
    <xf numFmtId="0" fontId="28" fillId="33" borderId="0" xfId="0" applyFont="1" applyFill="1" applyAlignment="1">
      <alignment vertical="center"/>
    </xf>
    <xf numFmtId="0" fontId="54" fillId="33" borderId="0" xfId="0" applyFont="1" applyFill="1" applyAlignment="1">
      <alignment horizontal="center" vertical="center"/>
    </xf>
    <xf numFmtId="0" fontId="37" fillId="33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164" fontId="33" fillId="0" borderId="0" xfId="0" applyNumberFormat="1" applyFont="1" applyAlignment="1">
      <alignment horizontal="center" vertical="top"/>
    </xf>
    <xf numFmtId="0" fontId="25" fillId="38" borderId="10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top"/>
    </xf>
    <xf numFmtId="0" fontId="38" fillId="0" borderId="0" xfId="0" applyFont="1" applyAlignment="1">
      <alignment horizontal="center" vertical="center"/>
    </xf>
    <xf numFmtId="164" fontId="33" fillId="0" borderId="0" xfId="0" applyNumberFormat="1" applyFont="1" applyAlignment="1">
      <alignment horizontal="center" vertical="top"/>
    </xf>
    <xf numFmtId="0" fontId="21" fillId="34" borderId="10" xfId="0" applyFont="1" applyFill="1" applyBorder="1" applyAlignment="1">
      <alignment horizontal="center" vertical="center"/>
    </xf>
    <xf numFmtId="0" fontId="22" fillId="36" borderId="10" xfId="0" applyFont="1" applyFill="1" applyBorder="1" applyAlignment="1">
      <alignment horizontal="center" vertical="center"/>
    </xf>
    <xf numFmtId="0" fontId="24" fillId="37" borderId="10" xfId="0" applyFont="1" applyFill="1" applyBorder="1" applyAlignment="1">
      <alignment horizontal="center" vertical="center" wrapText="1"/>
    </xf>
    <xf numFmtId="0" fontId="28" fillId="38" borderId="10" xfId="0" applyFont="1" applyFill="1" applyBorder="1" applyAlignment="1">
      <alignment horizontal="center" vertical="center" wrapText="1"/>
    </xf>
    <xf numFmtId="0" fontId="25" fillId="38" borderId="10" xfId="0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horizontal="right" vertical="center"/>
    </xf>
    <xf numFmtId="0" fontId="28" fillId="0" borderId="12" xfId="0" applyFont="1" applyBorder="1" applyAlignment="1">
      <alignment horizontal="right" vertical="center"/>
    </xf>
    <xf numFmtId="164" fontId="33" fillId="0" borderId="0" xfId="0" applyNumberFormat="1" applyFont="1" applyAlignment="1">
      <alignment horizontal="right" vertical="center"/>
    </xf>
    <xf numFmtId="0" fontId="50" fillId="40" borderId="13" xfId="0" applyFont="1" applyFill="1" applyBorder="1" applyAlignment="1">
      <alignment horizontal="right" vertical="center" wrapText="1"/>
    </xf>
    <xf numFmtId="0" fontId="50" fillId="40" borderId="14" xfId="0" applyFont="1" applyFill="1" applyBorder="1" applyAlignment="1">
      <alignment horizontal="right" vertical="center" wrapText="1"/>
    </xf>
    <xf numFmtId="0" fontId="50" fillId="40" borderId="15" xfId="0" applyFont="1" applyFill="1" applyBorder="1" applyAlignment="1">
      <alignment horizontal="right" vertical="center" wrapText="1"/>
    </xf>
    <xf numFmtId="0" fontId="50" fillId="40" borderId="13" xfId="0" applyFont="1" applyFill="1" applyBorder="1" applyAlignment="1">
      <alignment horizontal="center" vertical="center" wrapText="1"/>
    </xf>
    <xf numFmtId="0" fontId="50" fillId="40" borderId="14" xfId="0" applyFont="1" applyFill="1" applyBorder="1" applyAlignment="1">
      <alignment horizontal="center" vertical="center" wrapText="1"/>
    </xf>
    <xf numFmtId="0" fontId="50" fillId="40" borderId="15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0000FF"/>
      <color rgb="FFFEF8FC"/>
      <color rgb="FFEAF8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</xdr:rowOff>
    </xdr:from>
    <xdr:to>
      <xdr:col>1</xdr:col>
      <xdr:colOff>1052499</xdr:colOff>
      <xdr:row>2</xdr:row>
      <xdr:rowOff>983673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92EB86-B406-E59C-0F2A-3BF5B5C9F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8725"/>
          <a:ext cx="3463190" cy="9741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B348-C17E-45AA-A421-C490108EA230}">
  <dimension ref="A1:AI90"/>
  <sheetViews>
    <sheetView topLeftCell="G19" zoomScaleNormal="100" workbookViewId="0">
      <selection activeCell="L6" sqref="L6"/>
    </sheetView>
  </sheetViews>
  <sheetFormatPr defaultRowHeight="14"/>
  <cols>
    <col min="1" max="1" width="11.6640625" bestFit="1" customWidth="1"/>
    <col min="2" max="2" width="33.1640625" bestFit="1" customWidth="1"/>
    <col min="12" max="12" width="36.6640625" bestFit="1" customWidth="1"/>
    <col min="13" max="14" width="15.082031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17</v>
      </c>
      <c r="AH1" t="s">
        <v>18</v>
      </c>
      <c r="AI1" t="s">
        <v>19</v>
      </c>
    </row>
    <row r="2" spans="1:35">
      <c r="A2" t="s">
        <v>98</v>
      </c>
      <c r="B2" t="s">
        <v>99</v>
      </c>
      <c r="F2">
        <v>60</v>
      </c>
      <c r="G2">
        <v>0</v>
      </c>
      <c r="H2">
        <v>0</v>
      </c>
      <c r="I2" s="1">
        <v>4.6851851851851853E-2</v>
      </c>
      <c r="J2">
        <v>240</v>
      </c>
      <c r="K2">
        <v>100</v>
      </c>
      <c r="L2" t="s">
        <v>60</v>
      </c>
      <c r="M2" s="2">
        <v>46095.431238425925</v>
      </c>
      <c r="N2" s="2">
        <v>46095.478090277778</v>
      </c>
      <c r="O2" t="s">
        <v>26</v>
      </c>
      <c r="Q2" t="s">
        <v>26</v>
      </c>
      <c r="R2">
        <v>80</v>
      </c>
      <c r="S2">
        <v>0</v>
      </c>
      <c r="T2">
        <v>20</v>
      </c>
      <c r="U2">
        <v>80</v>
      </c>
      <c r="V2">
        <v>0</v>
      </c>
      <c r="W2">
        <v>20</v>
      </c>
      <c r="X2">
        <v>80</v>
      </c>
      <c r="Y2">
        <v>0</v>
      </c>
      <c r="Z2">
        <v>20</v>
      </c>
      <c r="AA2">
        <v>80</v>
      </c>
      <c r="AB2">
        <v>0</v>
      </c>
      <c r="AC2">
        <v>20</v>
      </c>
      <c r="AD2">
        <v>80</v>
      </c>
      <c r="AE2">
        <v>0</v>
      </c>
      <c r="AF2">
        <v>20</v>
      </c>
      <c r="AG2">
        <v>80</v>
      </c>
      <c r="AH2">
        <v>0</v>
      </c>
      <c r="AI2">
        <v>20</v>
      </c>
    </row>
    <row r="3" spans="1:35">
      <c r="A3" t="s">
        <v>138</v>
      </c>
      <c r="B3" t="s">
        <v>139</v>
      </c>
      <c r="F3">
        <v>60</v>
      </c>
      <c r="G3">
        <v>0</v>
      </c>
      <c r="H3">
        <v>0</v>
      </c>
      <c r="I3" s="1">
        <v>4.8599537037037038E-2</v>
      </c>
      <c r="J3">
        <v>240</v>
      </c>
      <c r="K3">
        <v>100</v>
      </c>
      <c r="L3" t="s">
        <v>60</v>
      </c>
      <c r="M3" s="2">
        <v>46095.441076388888</v>
      </c>
      <c r="N3" s="2">
        <v>46095.489675925928</v>
      </c>
      <c r="O3" t="s">
        <v>26</v>
      </c>
      <c r="Q3" t="s">
        <v>26</v>
      </c>
      <c r="R3">
        <v>80</v>
      </c>
      <c r="S3">
        <v>0</v>
      </c>
      <c r="T3">
        <v>20</v>
      </c>
      <c r="U3">
        <v>80</v>
      </c>
      <c r="V3">
        <v>0</v>
      </c>
      <c r="W3">
        <v>20</v>
      </c>
      <c r="X3">
        <v>80</v>
      </c>
      <c r="Y3">
        <v>0</v>
      </c>
      <c r="Z3">
        <v>20</v>
      </c>
      <c r="AA3">
        <v>80</v>
      </c>
      <c r="AB3">
        <v>0</v>
      </c>
      <c r="AC3">
        <v>20</v>
      </c>
      <c r="AD3">
        <v>80</v>
      </c>
      <c r="AE3">
        <v>0</v>
      </c>
      <c r="AF3">
        <v>20</v>
      </c>
      <c r="AG3">
        <v>80</v>
      </c>
      <c r="AH3">
        <v>0</v>
      </c>
      <c r="AI3">
        <v>20</v>
      </c>
    </row>
    <row r="4" spans="1:35">
      <c r="A4" t="s">
        <v>112</v>
      </c>
      <c r="B4" t="s">
        <v>113</v>
      </c>
      <c r="F4">
        <v>59</v>
      </c>
      <c r="G4">
        <v>1</v>
      </c>
      <c r="H4">
        <v>0</v>
      </c>
      <c r="I4" s="1">
        <v>4.5300925925925925E-2</v>
      </c>
      <c r="J4">
        <v>236</v>
      </c>
      <c r="K4">
        <v>98.33</v>
      </c>
      <c r="L4" t="s">
        <v>60</v>
      </c>
      <c r="M4" s="2">
        <v>46095.432476851849</v>
      </c>
      <c r="N4" s="2">
        <v>46095.477789351855</v>
      </c>
      <c r="O4" t="s">
        <v>26</v>
      </c>
      <c r="Q4" t="s">
        <v>26</v>
      </c>
      <c r="R4">
        <v>80</v>
      </c>
      <c r="S4">
        <v>0</v>
      </c>
      <c r="T4">
        <v>20</v>
      </c>
      <c r="U4">
        <v>76</v>
      </c>
      <c r="V4">
        <v>1</v>
      </c>
      <c r="W4">
        <v>19</v>
      </c>
      <c r="X4">
        <v>80</v>
      </c>
      <c r="Y4">
        <v>0</v>
      </c>
      <c r="Z4">
        <v>20</v>
      </c>
      <c r="AA4">
        <v>80</v>
      </c>
      <c r="AB4">
        <v>0</v>
      </c>
      <c r="AC4">
        <v>20</v>
      </c>
      <c r="AD4">
        <v>76</v>
      </c>
      <c r="AE4">
        <v>1</v>
      </c>
      <c r="AF4">
        <v>19</v>
      </c>
      <c r="AG4">
        <v>80</v>
      </c>
      <c r="AH4">
        <v>0</v>
      </c>
      <c r="AI4">
        <v>20</v>
      </c>
    </row>
    <row r="5" spans="1:35">
      <c r="A5" t="s">
        <v>65</v>
      </c>
      <c r="B5" t="s">
        <v>66</v>
      </c>
      <c r="F5">
        <v>57</v>
      </c>
      <c r="G5">
        <v>3</v>
      </c>
      <c r="H5">
        <v>0</v>
      </c>
      <c r="I5" s="1">
        <v>4.490740740740741E-2</v>
      </c>
      <c r="J5">
        <v>228</v>
      </c>
      <c r="K5">
        <v>95</v>
      </c>
      <c r="L5" t="s">
        <v>55</v>
      </c>
      <c r="M5" s="2">
        <v>46095.438379629632</v>
      </c>
      <c r="N5" s="2">
        <v>46095.483298611114</v>
      </c>
      <c r="O5" t="s">
        <v>26</v>
      </c>
      <c r="Q5" t="s">
        <v>26</v>
      </c>
      <c r="R5">
        <v>76</v>
      </c>
      <c r="S5">
        <v>1</v>
      </c>
      <c r="T5">
        <v>19</v>
      </c>
      <c r="U5">
        <v>72</v>
      </c>
      <c r="V5">
        <v>2</v>
      </c>
      <c r="W5">
        <v>18</v>
      </c>
      <c r="X5">
        <v>80</v>
      </c>
      <c r="Y5">
        <v>0</v>
      </c>
      <c r="Z5">
        <v>20</v>
      </c>
      <c r="AA5">
        <v>76</v>
      </c>
      <c r="AB5">
        <v>1</v>
      </c>
      <c r="AC5">
        <v>19</v>
      </c>
      <c r="AD5">
        <v>72</v>
      </c>
      <c r="AE5">
        <v>2</v>
      </c>
      <c r="AF5">
        <v>18</v>
      </c>
      <c r="AG5">
        <v>80</v>
      </c>
      <c r="AH5">
        <v>0</v>
      </c>
      <c r="AI5">
        <v>20</v>
      </c>
    </row>
    <row r="6" spans="1:35">
      <c r="A6" t="s">
        <v>223</v>
      </c>
      <c r="B6" t="s">
        <v>224</v>
      </c>
      <c r="F6">
        <v>56</v>
      </c>
      <c r="G6">
        <v>3</v>
      </c>
      <c r="H6">
        <v>1</v>
      </c>
      <c r="I6" s="1">
        <v>2.2881944444444444E-2</v>
      </c>
      <c r="J6">
        <v>224</v>
      </c>
      <c r="K6">
        <v>93.33</v>
      </c>
      <c r="L6" t="s">
        <v>69</v>
      </c>
      <c r="M6" s="2">
        <v>46095.432187500002</v>
      </c>
      <c r="N6" s="2">
        <v>46095.455081018517</v>
      </c>
      <c r="O6" t="s">
        <v>26</v>
      </c>
      <c r="Q6" t="s">
        <v>26</v>
      </c>
      <c r="R6">
        <v>80</v>
      </c>
      <c r="S6">
        <v>0</v>
      </c>
      <c r="T6">
        <v>20</v>
      </c>
      <c r="U6">
        <v>68</v>
      </c>
      <c r="V6">
        <v>3</v>
      </c>
      <c r="W6">
        <v>17</v>
      </c>
      <c r="X6">
        <v>76</v>
      </c>
      <c r="Y6">
        <v>0</v>
      </c>
      <c r="Z6">
        <v>19</v>
      </c>
      <c r="AA6">
        <v>80</v>
      </c>
      <c r="AB6">
        <v>0</v>
      </c>
      <c r="AC6">
        <v>20</v>
      </c>
      <c r="AD6">
        <v>68</v>
      </c>
      <c r="AE6">
        <v>3</v>
      </c>
      <c r="AF6">
        <v>17</v>
      </c>
      <c r="AG6">
        <v>76</v>
      </c>
      <c r="AH6">
        <v>0</v>
      </c>
      <c r="AI6">
        <v>19</v>
      </c>
    </row>
    <row r="7" spans="1:35">
      <c r="A7" t="s">
        <v>177</v>
      </c>
      <c r="B7" t="s">
        <v>178</v>
      </c>
      <c r="F7">
        <v>56</v>
      </c>
      <c r="G7">
        <v>4</v>
      </c>
      <c r="H7">
        <v>0</v>
      </c>
      <c r="I7" s="1">
        <v>2.9791666666666668E-2</v>
      </c>
      <c r="J7">
        <v>224</v>
      </c>
      <c r="K7">
        <v>93.33</v>
      </c>
      <c r="L7" t="s">
        <v>69</v>
      </c>
      <c r="M7" s="2">
        <v>46095.446516203701</v>
      </c>
      <c r="N7" s="2">
        <v>46095.476319444446</v>
      </c>
      <c r="O7" t="s">
        <v>26</v>
      </c>
      <c r="Q7" t="s">
        <v>26</v>
      </c>
      <c r="R7">
        <v>80</v>
      </c>
      <c r="S7">
        <v>0</v>
      </c>
      <c r="T7">
        <v>20</v>
      </c>
      <c r="U7">
        <v>72</v>
      </c>
      <c r="V7">
        <v>2</v>
      </c>
      <c r="W7">
        <v>18</v>
      </c>
      <c r="X7">
        <v>72</v>
      </c>
      <c r="Y7">
        <v>2</v>
      </c>
      <c r="Z7">
        <v>18</v>
      </c>
      <c r="AA7">
        <v>80</v>
      </c>
      <c r="AB7">
        <v>0</v>
      </c>
      <c r="AC7">
        <v>20</v>
      </c>
      <c r="AD7">
        <v>72</v>
      </c>
      <c r="AE7">
        <v>2</v>
      </c>
      <c r="AF7">
        <v>18</v>
      </c>
      <c r="AG7">
        <v>72</v>
      </c>
      <c r="AH7">
        <v>2</v>
      </c>
      <c r="AI7">
        <v>18</v>
      </c>
    </row>
    <row r="8" spans="1:35">
      <c r="A8" t="s">
        <v>53</v>
      </c>
      <c r="B8" t="s">
        <v>54</v>
      </c>
      <c r="F8">
        <v>56</v>
      </c>
      <c r="G8">
        <v>4</v>
      </c>
      <c r="H8">
        <v>0</v>
      </c>
      <c r="I8" s="1">
        <v>4.1504629629629627E-2</v>
      </c>
      <c r="J8">
        <v>224</v>
      </c>
      <c r="K8">
        <v>93.33</v>
      </c>
      <c r="L8" t="s">
        <v>55</v>
      </c>
      <c r="M8" s="2">
        <v>46095.43204861111</v>
      </c>
      <c r="N8" s="2">
        <v>46095.473564814813</v>
      </c>
      <c r="O8" t="s">
        <v>26</v>
      </c>
      <c r="Q8" t="s">
        <v>26</v>
      </c>
      <c r="R8">
        <v>72</v>
      </c>
      <c r="S8">
        <v>2</v>
      </c>
      <c r="T8">
        <v>18</v>
      </c>
      <c r="U8">
        <v>80</v>
      </c>
      <c r="V8">
        <v>0</v>
      </c>
      <c r="W8">
        <v>20</v>
      </c>
      <c r="X8">
        <v>72</v>
      </c>
      <c r="Y8">
        <v>2</v>
      </c>
      <c r="Z8">
        <v>18</v>
      </c>
      <c r="AA8">
        <v>72</v>
      </c>
      <c r="AB8">
        <v>2</v>
      </c>
      <c r="AC8">
        <v>18</v>
      </c>
      <c r="AD8">
        <v>80</v>
      </c>
      <c r="AE8">
        <v>0</v>
      </c>
      <c r="AF8">
        <v>20</v>
      </c>
      <c r="AG8">
        <v>72</v>
      </c>
      <c r="AH8">
        <v>2</v>
      </c>
      <c r="AI8">
        <v>18</v>
      </c>
    </row>
    <row r="9" spans="1:35">
      <c r="A9" t="s">
        <v>142</v>
      </c>
      <c r="B9" t="s">
        <v>143</v>
      </c>
      <c r="F9">
        <v>55</v>
      </c>
      <c r="G9">
        <v>5</v>
      </c>
      <c r="H9">
        <v>0</v>
      </c>
      <c r="I9" s="1">
        <v>3.8124999999999999E-2</v>
      </c>
      <c r="J9">
        <v>220</v>
      </c>
      <c r="K9">
        <v>91.67</v>
      </c>
      <c r="L9" t="s">
        <v>60</v>
      </c>
      <c r="M9" s="2">
        <v>46095.432430555556</v>
      </c>
      <c r="N9" s="2">
        <v>46095.470567129632</v>
      </c>
      <c r="O9" t="s">
        <v>26</v>
      </c>
      <c r="Q9" t="s">
        <v>26</v>
      </c>
      <c r="R9">
        <v>80</v>
      </c>
      <c r="S9">
        <v>0</v>
      </c>
      <c r="T9">
        <v>20</v>
      </c>
      <c r="U9">
        <v>80</v>
      </c>
      <c r="V9">
        <v>0</v>
      </c>
      <c r="W9">
        <v>20</v>
      </c>
      <c r="X9">
        <v>60</v>
      </c>
      <c r="Y9">
        <v>5</v>
      </c>
      <c r="Z9">
        <v>15</v>
      </c>
      <c r="AA9">
        <v>80</v>
      </c>
      <c r="AB9">
        <v>0</v>
      </c>
      <c r="AC9">
        <v>20</v>
      </c>
      <c r="AD9">
        <v>80</v>
      </c>
      <c r="AE9">
        <v>0</v>
      </c>
      <c r="AF9">
        <v>20</v>
      </c>
      <c r="AG9">
        <v>60</v>
      </c>
      <c r="AH9">
        <v>5</v>
      </c>
      <c r="AI9">
        <v>15</v>
      </c>
    </row>
    <row r="10" spans="1:35">
      <c r="A10" t="s">
        <v>132</v>
      </c>
      <c r="B10" t="s">
        <v>133</v>
      </c>
      <c r="F10">
        <v>55</v>
      </c>
      <c r="G10">
        <v>5</v>
      </c>
      <c r="H10">
        <v>0</v>
      </c>
      <c r="I10" s="1">
        <v>5.6064814814814817E-2</v>
      </c>
      <c r="J10">
        <v>220</v>
      </c>
      <c r="K10">
        <v>91.67</v>
      </c>
      <c r="L10" t="s">
        <v>60</v>
      </c>
      <c r="M10" s="2">
        <v>46095.445451388892</v>
      </c>
      <c r="N10" s="2">
        <v>46095.501516203702</v>
      </c>
      <c r="O10" t="s">
        <v>26</v>
      </c>
      <c r="Q10" t="s">
        <v>26</v>
      </c>
      <c r="R10">
        <v>76</v>
      </c>
      <c r="S10">
        <v>1</v>
      </c>
      <c r="T10">
        <v>19</v>
      </c>
      <c r="U10">
        <v>72</v>
      </c>
      <c r="V10">
        <v>2</v>
      </c>
      <c r="W10">
        <v>18</v>
      </c>
      <c r="X10">
        <v>72</v>
      </c>
      <c r="Y10">
        <v>2</v>
      </c>
      <c r="Z10">
        <v>18</v>
      </c>
      <c r="AA10">
        <v>76</v>
      </c>
      <c r="AB10">
        <v>1</v>
      </c>
      <c r="AC10">
        <v>19</v>
      </c>
      <c r="AD10">
        <v>72</v>
      </c>
      <c r="AE10">
        <v>2</v>
      </c>
      <c r="AF10">
        <v>18</v>
      </c>
      <c r="AG10">
        <v>72</v>
      </c>
      <c r="AH10">
        <v>2</v>
      </c>
      <c r="AI10">
        <v>18</v>
      </c>
    </row>
    <row r="11" spans="1:35">
      <c r="A11" t="s">
        <v>94</v>
      </c>
      <c r="B11" t="s">
        <v>95</v>
      </c>
      <c r="F11">
        <v>55</v>
      </c>
      <c r="G11">
        <v>5</v>
      </c>
      <c r="H11">
        <v>0</v>
      </c>
      <c r="I11" s="1">
        <v>4.5335648148148146E-2</v>
      </c>
      <c r="J11">
        <v>220</v>
      </c>
      <c r="K11">
        <v>91.67</v>
      </c>
      <c r="L11" t="s">
        <v>55</v>
      </c>
      <c r="M11" s="2">
        <v>46095.431203703702</v>
      </c>
      <c r="N11" s="2">
        <v>46095.476539351854</v>
      </c>
      <c r="O11" t="s">
        <v>26</v>
      </c>
      <c r="Q11" t="s">
        <v>26</v>
      </c>
      <c r="R11">
        <v>76</v>
      </c>
      <c r="S11">
        <v>1</v>
      </c>
      <c r="T11">
        <v>19</v>
      </c>
      <c r="U11">
        <v>64</v>
      </c>
      <c r="V11">
        <v>4</v>
      </c>
      <c r="W11">
        <v>16</v>
      </c>
      <c r="X11">
        <v>80</v>
      </c>
      <c r="Y11">
        <v>0</v>
      </c>
      <c r="Z11">
        <v>20</v>
      </c>
      <c r="AA11">
        <v>76</v>
      </c>
      <c r="AB11">
        <v>1</v>
      </c>
      <c r="AC11">
        <v>19</v>
      </c>
      <c r="AD11">
        <v>64</v>
      </c>
      <c r="AE11">
        <v>4</v>
      </c>
      <c r="AF11">
        <v>16</v>
      </c>
      <c r="AG11">
        <v>80</v>
      </c>
      <c r="AH11">
        <v>0</v>
      </c>
      <c r="AI11">
        <v>20</v>
      </c>
    </row>
    <row r="12" spans="1:35">
      <c r="A12" t="s">
        <v>167</v>
      </c>
      <c r="B12" t="s">
        <v>168</v>
      </c>
      <c r="F12">
        <v>52</v>
      </c>
      <c r="G12">
        <v>8</v>
      </c>
      <c r="H12">
        <v>0</v>
      </c>
      <c r="I12" s="1">
        <v>2.9837962962962962E-2</v>
      </c>
      <c r="J12">
        <v>208</v>
      </c>
      <c r="K12">
        <v>86.67</v>
      </c>
      <c r="L12" t="s">
        <v>60</v>
      </c>
      <c r="M12" s="2">
        <v>46095.447002314817</v>
      </c>
      <c r="N12" s="2">
        <v>46095.476851851854</v>
      </c>
      <c r="O12" t="s">
        <v>26</v>
      </c>
      <c r="Q12" t="s">
        <v>26</v>
      </c>
      <c r="R12">
        <v>80</v>
      </c>
      <c r="S12">
        <v>0</v>
      </c>
      <c r="T12">
        <v>20</v>
      </c>
      <c r="U12">
        <v>48</v>
      </c>
      <c r="V12">
        <v>8</v>
      </c>
      <c r="W12">
        <v>12</v>
      </c>
      <c r="X12">
        <v>80</v>
      </c>
      <c r="Y12">
        <v>0</v>
      </c>
      <c r="Z12">
        <v>20</v>
      </c>
      <c r="AA12">
        <v>80</v>
      </c>
      <c r="AB12">
        <v>0</v>
      </c>
      <c r="AC12">
        <v>20</v>
      </c>
      <c r="AD12">
        <v>48</v>
      </c>
      <c r="AE12">
        <v>8</v>
      </c>
      <c r="AF12">
        <v>12</v>
      </c>
      <c r="AG12">
        <v>80</v>
      </c>
      <c r="AH12">
        <v>0</v>
      </c>
      <c r="AI12">
        <v>20</v>
      </c>
    </row>
    <row r="13" spans="1:35">
      <c r="A13" t="s">
        <v>225</v>
      </c>
      <c r="B13" t="s">
        <v>226</v>
      </c>
      <c r="F13">
        <v>49</v>
      </c>
      <c r="G13">
        <v>10</v>
      </c>
      <c r="H13">
        <v>1</v>
      </c>
      <c r="I13" s="1">
        <v>3.363425925925926E-2</v>
      </c>
      <c r="J13">
        <v>196</v>
      </c>
      <c r="K13">
        <v>81.67</v>
      </c>
      <c r="L13" t="s">
        <v>60</v>
      </c>
      <c r="M13" s="2">
        <v>46095.444039351853</v>
      </c>
      <c r="N13" s="2">
        <v>46095.477685185186</v>
      </c>
      <c r="O13" t="s">
        <v>26</v>
      </c>
      <c r="Q13" t="s">
        <v>26</v>
      </c>
      <c r="R13">
        <v>72</v>
      </c>
      <c r="S13">
        <v>2</v>
      </c>
      <c r="T13">
        <v>18</v>
      </c>
      <c r="U13">
        <v>72</v>
      </c>
      <c r="V13">
        <v>2</v>
      </c>
      <c r="W13">
        <v>18</v>
      </c>
      <c r="X13">
        <v>52</v>
      </c>
      <c r="Y13">
        <v>6</v>
      </c>
      <c r="Z13">
        <v>13</v>
      </c>
      <c r="AA13">
        <v>72</v>
      </c>
      <c r="AB13">
        <v>2</v>
      </c>
      <c r="AC13">
        <v>18</v>
      </c>
      <c r="AD13">
        <v>72</v>
      </c>
      <c r="AE13">
        <v>2</v>
      </c>
      <c r="AF13">
        <v>18</v>
      </c>
      <c r="AG13">
        <v>52</v>
      </c>
      <c r="AH13">
        <v>6</v>
      </c>
      <c r="AI13">
        <v>13</v>
      </c>
    </row>
    <row r="14" spans="1:35">
      <c r="A14" t="s">
        <v>106</v>
      </c>
      <c r="B14" t="s">
        <v>107</v>
      </c>
      <c r="F14">
        <v>49</v>
      </c>
      <c r="G14">
        <v>10</v>
      </c>
      <c r="H14">
        <v>1</v>
      </c>
      <c r="I14" s="1">
        <v>2.9791666666666668E-2</v>
      </c>
      <c r="J14">
        <v>196</v>
      </c>
      <c r="K14">
        <v>81.67</v>
      </c>
      <c r="L14" t="s">
        <v>69</v>
      </c>
      <c r="M14" s="2">
        <v>46095.433067129627</v>
      </c>
      <c r="N14" s="2">
        <v>46095.462870370371</v>
      </c>
      <c r="O14" t="s">
        <v>26</v>
      </c>
      <c r="Q14" t="s">
        <v>26</v>
      </c>
      <c r="R14">
        <v>76</v>
      </c>
      <c r="S14">
        <v>1</v>
      </c>
      <c r="T14">
        <v>19</v>
      </c>
      <c r="U14">
        <v>52</v>
      </c>
      <c r="V14">
        <v>7</v>
      </c>
      <c r="W14">
        <v>13</v>
      </c>
      <c r="X14">
        <v>68</v>
      </c>
      <c r="Y14">
        <v>2</v>
      </c>
      <c r="Z14">
        <v>17</v>
      </c>
      <c r="AA14">
        <v>76</v>
      </c>
      <c r="AB14">
        <v>1</v>
      </c>
      <c r="AC14">
        <v>19</v>
      </c>
      <c r="AD14">
        <v>52</v>
      </c>
      <c r="AE14">
        <v>7</v>
      </c>
      <c r="AF14">
        <v>13</v>
      </c>
      <c r="AG14">
        <v>68</v>
      </c>
      <c r="AH14">
        <v>2</v>
      </c>
      <c r="AI14">
        <v>17</v>
      </c>
    </row>
    <row r="15" spans="1:35">
      <c r="A15" t="s">
        <v>128</v>
      </c>
      <c r="B15" t="s">
        <v>129</v>
      </c>
      <c r="F15">
        <v>49</v>
      </c>
      <c r="G15">
        <v>11</v>
      </c>
      <c r="H15">
        <v>0</v>
      </c>
      <c r="I15" s="1">
        <v>2.8055555555555556E-2</v>
      </c>
      <c r="J15">
        <v>196</v>
      </c>
      <c r="K15">
        <v>81.67</v>
      </c>
      <c r="L15" t="s">
        <v>60</v>
      </c>
      <c r="M15" s="2">
        <v>46095.447164351855</v>
      </c>
      <c r="N15" s="2">
        <v>46095.475231481483</v>
      </c>
      <c r="O15" t="s">
        <v>26</v>
      </c>
      <c r="Q15" t="s">
        <v>26</v>
      </c>
      <c r="R15">
        <v>72</v>
      </c>
      <c r="S15">
        <v>2</v>
      </c>
      <c r="T15">
        <v>18</v>
      </c>
      <c r="U15">
        <v>44</v>
      </c>
      <c r="V15">
        <v>9</v>
      </c>
      <c r="W15">
        <v>11</v>
      </c>
      <c r="X15">
        <v>80</v>
      </c>
      <c r="Y15">
        <v>0</v>
      </c>
      <c r="Z15">
        <v>20</v>
      </c>
      <c r="AA15">
        <v>72</v>
      </c>
      <c r="AB15">
        <v>2</v>
      </c>
      <c r="AC15">
        <v>18</v>
      </c>
      <c r="AD15">
        <v>44</v>
      </c>
      <c r="AE15">
        <v>9</v>
      </c>
      <c r="AF15">
        <v>11</v>
      </c>
      <c r="AG15">
        <v>80</v>
      </c>
      <c r="AH15">
        <v>0</v>
      </c>
      <c r="AI15">
        <v>20</v>
      </c>
    </row>
    <row r="16" spans="1:35">
      <c r="A16" t="s">
        <v>148</v>
      </c>
      <c r="B16" t="s">
        <v>149</v>
      </c>
      <c r="F16">
        <v>48</v>
      </c>
      <c r="G16">
        <v>12</v>
      </c>
      <c r="H16">
        <v>0</v>
      </c>
      <c r="I16" s="1">
        <v>3.8587962962962963E-2</v>
      </c>
      <c r="J16">
        <v>192</v>
      </c>
      <c r="K16">
        <v>80</v>
      </c>
      <c r="L16" t="s">
        <v>150</v>
      </c>
      <c r="M16" s="2">
        <v>46095.44935185185</v>
      </c>
      <c r="N16" s="2">
        <v>46095.487951388888</v>
      </c>
      <c r="O16" t="s">
        <v>26</v>
      </c>
      <c r="Q16" t="s">
        <v>26</v>
      </c>
      <c r="R16">
        <v>64</v>
      </c>
      <c r="S16">
        <v>4</v>
      </c>
      <c r="T16">
        <v>16</v>
      </c>
      <c r="U16">
        <v>60</v>
      </c>
      <c r="V16">
        <v>5</v>
      </c>
      <c r="W16">
        <v>15</v>
      </c>
      <c r="X16">
        <v>68</v>
      </c>
      <c r="Y16">
        <v>3</v>
      </c>
      <c r="Z16">
        <v>17</v>
      </c>
      <c r="AA16">
        <v>64</v>
      </c>
      <c r="AB16">
        <v>4</v>
      </c>
      <c r="AC16">
        <v>16</v>
      </c>
      <c r="AD16">
        <v>60</v>
      </c>
      <c r="AE16">
        <v>5</v>
      </c>
      <c r="AF16">
        <v>15</v>
      </c>
      <c r="AG16">
        <v>68</v>
      </c>
      <c r="AH16">
        <v>3</v>
      </c>
      <c r="AI16">
        <v>17</v>
      </c>
    </row>
    <row r="17" spans="1:35">
      <c r="A17" t="s">
        <v>134</v>
      </c>
      <c r="B17" t="s">
        <v>135</v>
      </c>
      <c r="F17">
        <v>48</v>
      </c>
      <c r="G17">
        <v>12</v>
      </c>
      <c r="H17">
        <v>0</v>
      </c>
      <c r="I17" s="1">
        <v>4.6168981481481484E-2</v>
      </c>
      <c r="J17">
        <v>192</v>
      </c>
      <c r="K17">
        <v>80</v>
      </c>
      <c r="L17" t="s">
        <v>60</v>
      </c>
      <c r="M17" s="2">
        <v>46095.441053240742</v>
      </c>
      <c r="N17" s="2">
        <v>46095.487222222226</v>
      </c>
      <c r="O17" t="s">
        <v>26</v>
      </c>
      <c r="Q17" t="s">
        <v>26</v>
      </c>
      <c r="R17">
        <v>60</v>
      </c>
      <c r="S17">
        <v>5</v>
      </c>
      <c r="T17">
        <v>15</v>
      </c>
      <c r="U17">
        <v>60</v>
      </c>
      <c r="V17">
        <v>5</v>
      </c>
      <c r="W17">
        <v>15</v>
      </c>
      <c r="X17">
        <v>72</v>
      </c>
      <c r="Y17">
        <v>2</v>
      </c>
      <c r="Z17">
        <v>18</v>
      </c>
      <c r="AA17">
        <v>60</v>
      </c>
      <c r="AB17">
        <v>5</v>
      </c>
      <c r="AC17">
        <v>15</v>
      </c>
      <c r="AD17">
        <v>60</v>
      </c>
      <c r="AE17">
        <v>5</v>
      </c>
      <c r="AF17">
        <v>15</v>
      </c>
      <c r="AG17">
        <v>72</v>
      </c>
      <c r="AH17">
        <v>2</v>
      </c>
      <c r="AI17">
        <v>18</v>
      </c>
    </row>
    <row r="18" spans="1:35">
      <c r="A18" t="s">
        <v>209</v>
      </c>
      <c r="B18" t="s">
        <v>210</v>
      </c>
      <c r="F18">
        <v>47</v>
      </c>
      <c r="G18">
        <v>13</v>
      </c>
      <c r="H18">
        <v>0</v>
      </c>
      <c r="I18" s="1">
        <v>2.4988425925925924E-2</v>
      </c>
      <c r="J18">
        <v>188</v>
      </c>
      <c r="K18">
        <v>78.33</v>
      </c>
      <c r="L18" t="s">
        <v>69</v>
      </c>
      <c r="M18" s="2">
        <v>46095.445868055554</v>
      </c>
      <c r="N18" s="2">
        <v>46095.470868055556</v>
      </c>
      <c r="O18" t="s">
        <v>26</v>
      </c>
      <c r="Q18" t="s">
        <v>26</v>
      </c>
      <c r="R18">
        <v>68</v>
      </c>
      <c r="S18">
        <v>3</v>
      </c>
      <c r="T18">
        <v>17</v>
      </c>
      <c r="U18">
        <v>52</v>
      </c>
      <c r="V18">
        <v>7</v>
      </c>
      <c r="W18">
        <v>13</v>
      </c>
      <c r="X18">
        <v>68</v>
      </c>
      <c r="Y18">
        <v>3</v>
      </c>
      <c r="Z18">
        <v>17</v>
      </c>
      <c r="AA18">
        <v>68</v>
      </c>
      <c r="AB18">
        <v>3</v>
      </c>
      <c r="AC18">
        <v>17</v>
      </c>
      <c r="AD18">
        <v>52</v>
      </c>
      <c r="AE18">
        <v>7</v>
      </c>
      <c r="AF18">
        <v>13</v>
      </c>
      <c r="AG18">
        <v>68</v>
      </c>
      <c r="AH18">
        <v>3</v>
      </c>
      <c r="AI18">
        <v>17</v>
      </c>
    </row>
    <row r="19" spans="1:35">
      <c r="A19" t="s">
        <v>197</v>
      </c>
      <c r="B19" t="s">
        <v>198</v>
      </c>
      <c r="F19">
        <v>47</v>
      </c>
      <c r="G19">
        <v>13</v>
      </c>
      <c r="H19">
        <v>0</v>
      </c>
      <c r="I19" s="1">
        <v>4.4074074074074071E-2</v>
      </c>
      <c r="J19">
        <v>188</v>
      </c>
      <c r="K19">
        <v>78.33</v>
      </c>
      <c r="L19" t="s">
        <v>55</v>
      </c>
      <c r="M19" s="2">
        <v>46095.431331018517</v>
      </c>
      <c r="N19" s="2">
        <v>46095.475405092591</v>
      </c>
      <c r="O19" t="s">
        <v>26</v>
      </c>
      <c r="Q19" t="s">
        <v>26</v>
      </c>
      <c r="R19">
        <v>76</v>
      </c>
      <c r="S19">
        <v>1</v>
      </c>
      <c r="T19">
        <v>19</v>
      </c>
      <c r="U19">
        <v>68</v>
      </c>
      <c r="V19">
        <v>3</v>
      </c>
      <c r="W19">
        <v>17</v>
      </c>
      <c r="X19">
        <v>44</v>
      </c>
      <c r="Y19">
        <v>9</v>
      </c>
      <c r="Z19">
        <v>11</v>
      </c>
      <c r="AA19">
        <v>76</v>
      </c>
      <c r="AB19">
        <v>1</v>
      </c>
      <c r="AC19">
        <v>19</v>
      </c>
      <c r="AD19">
        <v>68</v>
      </c>
      <c r="AE19">
        <v>3</v>
      </c>
      <c r="AF19">
        <v>17</v>
      </c>
      <c r="AG19">
        <v>44</v>
      </c>
      <c r="AH19">
        <v>9</v>
      </c>
      <c r="AI19">
        <v>11</v>
      </c>
    </row>
    <row r="20" spans="1:35">
      <c r="A20" t="s">
        <v>165</v>
      </c>
      <c r="B20" t="s">
        <v>166</v>
      </c>
      <c r="F20">
        <v>47</v>
      </c>
      <c r="G20">
        <v>13</v>
      </c>
      <c r="H20">
        <v>0</v>
      </c>
      <c r="I20" s="1">
        <v>4.6724537037037037E-2</v>
      </c>
      <c r="J20">
        <v>188</v>
      </c>
      <c r="K20">
        <v>78.33</v>
      </c>
      <c r="L20" t="s">
        <v>150</v>
      </c>
      <c r="M20" s="2">
        <v>46095.44425925926</v>
      </c>
      <c r="N20" s="2">
        <v>46095.490995370368</v>
      </c>
      <c r="O20" t="s">
        <v>26</v>
      </c>
      <c r="Q20" t="s">
        <v>26</v>
      </c>
      <c r="R20">
        <v>72</v>
      </c>
      <c r="S20">
        <v>2</v>
      </c>
      <c r="T20">
        <v>18</v>
      </c>
      <c r="U20">
        <v>56</v>
      </c>
      <c r="V20">
        <v>6</v>
      </c>
      <c r="W20">
        <v>14</v>
      </c>
      <c r="X20">
        <v>60</v>
      </c>
      <c r="Y20">
        <v>5</v>
      </c>
      <c r="Z20">
        <v>15</v>
      </c>
      <c r="AA20">
        <v>72</v>
      </c>
      <c r="AB20">
        <v>2</v>
      </c>
      <c r="AC20">
        <v>18</v>
      </c>
      <c r="AD20">
        <v>56</v>
      </c>
      <c r="AE20">
        <v>6</v>
      </c>
      <c r="AF20">
        <v>14</v>
      </c>
      <c r="AG20">
        <v>60</v>
      </c>
      <c r="AH20">
        <v>5</v>
      </c>
      <c r="AI20">
        <v>15</v>
      </c>
    </row>
    <row r="21" spans="1:35">
      <c r="A21" t="s">
        <v>56</v>
      </c>
      <c r="B21" t="s">
        <v>57</v>
      </c>
      <c r="F21">
        <v>46</v>
      </c>
      <c r="G21">
        <v>14</v>
      </c>
      <c r="H21">
        <v>0</v>
      </c>
      <c r="I21" s="1">
        <v>2.3969907407407409E-2</v>
      </c>
      <c r="J21">
        <v>184</v>
      </c>
      <c r="K21">
        <v>76.67</v>
      </c>
      <c r="L21" t="s">
        <v>55</v>
      </c>
      <c r="M21" s="2">
        <v>46095.431145833332</v>
      </c>
      <c r="N21" s="2">
        <v>46095.45511574074</v>
      </c>
      <c r="O21" t="s">
        <v>26</v>
      </c>
      <c r="Q21" t="s">
        <v>26</v>
      </c>
      <c r="R21">
        <v>72</v>
      </c>
      <c r="S21">
        <v>2</v>
      </c>
      <c r="T21">
        <v>18</v>
      </c>
      <c r="U21">
        <v>64</v>
      </c>
      <c r="V21">
        <v>4</v>
      </c>
      <c r="W21">
        <v>16</v>
      </c>
      <c r="X21">
        <v>48</v>
      </c>
      <c r="Y21">
        <v>8</v>
      </c>
      <c r="Z21">
        <v>12</v>
      </c>
      <c r="AA21">
        <v>72</v>
      </c>
      <c r="AB21">
        <v>2</v>
      </c>
      <c r="AC21">
        <v>18</v>
      </c>
      <c r="AD21">
        <v>64</v>
      </c>
      <c r="AE21">
        <v>4</v>
      </c>
      <c r="AF21">
        <v>16</v>
      </c>
      <c r="AG21">
        <v>48</v>
      </c>
      <c r="AH21">
        <v>8</v>
      </c>
      <c r="AI21">
        <v>12</v>
      </c>
    </row>
    <row r="22" spans="1:35">
      <c r="A22" t="s">
        <v>58</v>
      </c>
      <c r="B22" t="s">
        <v>59</v>
      </c>
      <c r="F22">
        <v>45</v>
      </c>
      <c r="G22">
        <v>15</v>
      </c>
      <c r="H22">
        <v>0</v>
      </c>
      <c r="I22" s="1">
        <v>2.042824074074074E-2</v>
      </c>
      <c r="J22">
        <v>180</v>
      </c>
      <c r="K22">
        <v>75</v>
      </c>
      <c r="L22" t="s">
        <v>60</v>
      </c>
      <c r="M22" s="2">
        <v>46095.432592592595</v>
      </c>
      <c r="N22" s="2">
        <v>46095.453032407408</v>
      </c>
      <c r="O22" t="s">
        <v>26</v>
      </c>
      <c r="Q22" t="s">
        <v>26</v>
      </c>
      <c r="R22">
        <v>72</v>
      </c>
      <c r="S22">
        <v>2</v>
      </c>
      <c r="T22">
        <v>18</v>
      </c>
      <c r="U22">
        <v>48</v>
      </c>
      <c r="V22">
        <v>8</v>
      </c>
      <c r="W22">
        <v>12</v>
      </c>
      <c r="X22">
        <v>60</v>
      </c>
      <c r="Y22">
        <v>5</v>
      </c>
      <c r="Z22">
        <v>15</v>
      </c>
      <c r="AA22">
        <v>72</v>
      </c>
      <c r="AB22">
        <v>2</v>
      </c>
      <c r="AC22">
        <v>18</v>
      </c>
      <c r="AD22">
        <v>48</v>
      </c>
      <c r="AE22">
        <v>8</v>
      </c>
      <c r="AF22">
        <v>12</v>
      </c>
      <c r="AG22">
        <v>60</v>
      </c>
      <c r="AH22">
        <v>5</v>
      </c>
      <c r="AI22">
        <v>15</v>
      </c>
    </row>
    <row r="23" spans="1:35">
      <c r="A23" t="s">
        <v>96</v>
      </c>
      <c r="B23" t="s">
        <v>97</v>
      </c>
      <c r="F23">
        <v>45</v>
      </c>
      <c r="G23">
        <v>14</v>
      </c>
      <c r="H23">
        <v>1</v>
      </c>
      <c r="I23" s="1">
        <v>3.0219907407407407E-2</v>
      </c>
      <c r="J23">
        <v>180</v>
      </c>
      <c r="K23">
        <v>75</v>
      </c>
      <c r="L23" t="s">
        <v>69</v>
      </c>
      <c r="M23" s="2">
        <v>46095.433379629627</v>
      </c>
      <c r="N23" s="2">
        <v>46095.46361111111</v>
      </c>
      <c r="O23" t="s">
        <v>26</v>
      </c>
      <c r="Q23" t="s">
        <v>26</v>
      </c>
      <c r="R23">
        <v>68</v>
      </c>
      <c r="S23">
        <v>3</v>
      </c>
      <c r="T23">
        <v>17</v>
      </c>
      <c r="U23">
        <v>56</v>
      </c>
      <c r="V23">
        <v>6</v>
      </c>
      <c r="W23">
        <v>14</v>
      </c>
      <c r="X23">
        <v>56</v>
      </c>
      <c r="Y23">
        <v>5</v>
      </c>
      <c r="Z23">
        <v>14</v>
      </c>
      <c r="AA23">
        <v>68</v>
      </c>
      <c r="AB23">
        <v>3</v>
      </c>
      <c r="AC23">
        <v>17</v>
      </c>
      <c r="AD23">
        <v>56</v>
      </c>
      <c r="AE23">
        <v>6</v>
      </c>
      <c r="AF23">
        <v>14</v>
      </c>
      <c r="AG23">
        <v>56</v>
      </c>
      <c r="AH23">
        <v>5</v>
      </c>
      <c r="AI23">
        <v>14</v>
      </c>
    </row>
    <row r="24" spans="1:35">
      <c r="A24" t="s">
        <v>84</v>
      </c>
      <c r="B24" t="s">
        <v>85</v>
      </c>
      <c r="F24">
        <v>45</v>
      </c>
      <c r="G24">
        <v>15</v>
      </c>
      <c r="H24">
        <v>0</v>
      </c>
      <c r="I24" s="1">
        <v>3.4456018518518518E-2</v>
      </c>
      <c r="J24">
        <v>180</v>
      </c>
      <c r="K24">
        <v>75</v>
      </c>
      <c r="L24" t="s">
        <v>55</v>
      </c>
      <c r="M24" s="2">
        <v>46095.432314814818</v>
      </c>
      <c r="N24" s="2">
        <v>46095.466770833336</v>
      </c>
      <c r="O24" t="s">
        <v>26</v>
      </c>
      <c r="Q24" t="s">
        <v>26</v>
      </c>
      <c r="R24">
        <v>76</v>
      </c>
      <c r="S24">
        <v>1</v>
      </c>
      <c r="T24">
        <v>19</v>
      </c>
      <c r="U24">
        <v>60</v>
      </c>
      <c r="V24">
        <v>5</v>
      </c>
      <c r="W24">
        <v>15</v>
      </c>
      <c r="X24">
        <v>44</v>
      </c>
      <c r="Y24">
        <v>9</v>
      </c>
      <c r="Z24">
        <v>11</v>
      </c>
      <c r="AA24">
        <v>76</v>
      </c>
      <c r="AB24">
        <v>1</v>
      </c>
      <c r="AC24">
        <v>19</v>
      </c>
      <c r="AD24">
        <v>60</v>
      </c>
      <c r="AE24">
        <v>5</v>
      </c>
      <c r="AF24">
        <v>15</v>
      </c>
      <c r="AG24">
        <v>44</v>
      </c>
      <c r="AH24">
        <v>9</v>
      </c>
      <c r="AI24">
        <v>11</v>
      </c>
    </row>
    <row r="25" spans="1:35">
      <c r="A25" t="s">
        <v>215</v>
      </c>
      <c r="B25" t="s">
        <v>216</v>
      </c>
      <c r="F25">
        <v>44</v>
      </c>
      <c r="G25">
        <v>15</v>
      </c>
      <c r="H25">
        <v>1</v>
      </c>
      <c r="I25" s="1">
        <v>5.122685185185185E-2</v>
      </c>
      <c r="J25">
        <v>176</v>
      </c>
      <c r="K25">
        <v>73.33</v>
      </c>
      <c r="L25" t="s">
        <v>69</v>
      </c>
      <c r="M25" s="2">
        <v>46095.439270833333</v>
      </c>
      <c r="N25" s="2">
        <v>46095.490497685183</v>
      </c>
      <c r="O25" t="s">
        <v>26</v>
      </c>
      <c r="Q25" t="s">
        <v>26</v>
      </c>
      <c r="R25">
        <v>64</v>
      </c>
      <c r="S25">
        <v>4</v>
      </c>
      <c r="T25">
        <v>16</v>
      </c>
      <c r="U25">
        <v>68</v>
      </c>
      <c r="V25">
        <v>3</v>
      </c>
      <c r="W25">
        <v>17</v>
      </c>
      <c r="X25">
        <v>44</v>
      </c>
      <c r="Y25">
        <v>8</v>
      </c>
      <c r="Z25">
        <v>11</v>
      </c>
      <c r="AA25">
        <v>64</v>
      </c>
      <c r="AB25">
        <v>4</v>
      </c>
      <c r="AC25">
        <v>16</v>
      </c>
      <c r="AD25">
        <v>68</v>
      </c>
      <c r="AE25">
        <v>3</v>
      </c>
      <c r="AF25">
        <v>17</v>
      </c>
      <c r="AG25">
        <v>44</v>
      </c>
      <c r="AH25">
        <v>8</v>
      </c>
      <c r="AI25">
        <v>11</v>
      </c>
    </row>
    <row r="26" spans="1:35">
      <c r="A26" t="s">
        <v>144</v>
      </c>
      <c r="B26" t="s">
        <v>145</v>
      </c>
      <c r="F26">
        <v>43</v>
      </c>
      <c r="G26">
        <v>17</v>
      </c>
      <c r="H26">
        <v>0</v>
      </c>
      <c r="I26" s="1">
        <v>2.8148148148148148E-2</v>
      </c>
      <c r="J26">
        <v>172</v>
      </c>
      <c r="K26">
        <v>71.67</v>
      </c>
      <c r="L26" t="s">
        <v>60</v>
      </c>
      <c r="M26" s="2">
        <v>46095.432708333334</v>
      </c>
      <c r="N26" s="2">
        <v>46095.460856481484</v>
      </c>
      <c r="O26" t="s">
        <v>26</v>
      </c>
      <c r="Q26" t="s">
        <v>26</v>
      </c>
      <c r="R26">
        <v>72</v>
      </c>
      <c r="S26">
        <v>2</v>
      </c>
      <c r="T26">
        <v>18</v>
      </c>
      <c r="U26">
        <v>56</v>
      </c>
      <c r="V26">
        <v>6</v>
      </c>
      <c r="W26">
        <v>14</v>
      </c>
      <c r="X26">
        <v>44</v>
      </c>
      <c r="Y26">
        <v>9</v>
      </c>
      <c r="Z26">
        <v>11</v>
      </c>
      <c r="AA26">
        <v>72</v>
      </c>
      <c r="AB26">
        <v>2</v>
      </c>
      <c r="AC26">
        <v>18</v>
      </c>
      <c r="AD26">
        <v>56</v>
      </c>
      <c r="AE26">
        <v>6</v>
      </c>
      <c r="AF26">
        <v>14</v>
      </c>
      <c r="AG26">
        <v>44</v>
      </c>
      <c r="AH26">
        <v>9</v>
      </c>
      <c r="AI26">
        <v>11</v>
      </c>
    </row>
    <row r="27" spans="1:35">
      <c r="A27" t="s">
        <v>153</v>
      </c>
      <c r="B27" t="s">
        <v>154</v>
      </c>
      <c r="F27">
        <v>43</v>
      </c>
      <c r="G27">
        <v>17</v>
      </c>
      <c r="H27">
        <v>0</v>
      </c>
      <c r="I27" s="1">
        <v>4.1863425925925929E-2</v>
      </c>
      <c r="J27">
        <v>172</v>
      </c>
      <c r="K27">
        <v>71.67</v>
      </c>
      <c r="L27" t="s">
        <v>150</v>
      </c>
      <c r="M27" s="2">
        <v>46095.449143518519</v>
      </c>
      <c r="N27" s="2">
        <v>46095.491018518522</v>
      </c>
      <c r="O27" t="s">
        <v>26</v>
      </c>
      <c r="Q27" t="s">
        <v>26</v>
      </c>
      <c r="R27">
        <v>76</v>
      </c>
      <c r="S27">
        <v>1</v>
      </c>
      <c r="T27">
        <v>19</v>
      </c>
      <c r="U27">
        <v>56</v>
      </c>
      <c r="V27">
        <v>6</v>
      </c>
      <c r="W27">
        <v>14</v>
      </c>
      <c r="X27">
        <v>40</v>
      </c>
      <c r="Y27">
        <v>10</v>
      </c>
      <c r="Z27">
        <v>10</v>
      </c>
      <c r="AA27">
        <v>76</v>
      </c>
      <c r="AB27">
        <v>1</v>
      </c>
      <c r="AC27">
        <v>19</v>
      </c>
      <c r="AD27">
        <v>56</v>
      </c>
      <c r="AE27">
        <v>6</v>
      </c>
      <c r="AF27">
        <v>14</v>
      </c>
      <c r="AG27">
        <v>40</v>
      </c>
      <c r="AH27">
        <v>10</v>
      </c>
      <c r="AI27">
        <v>10</v>
      </c>
    </row>
    <row r="28" spans="1:35">
      <c r="A28" t="s">
        <v>159</v>
      </c>
      <c r="B28" t="s">
        <v>160</v>
      </c>
      <c r="F28">
        <v>43</v>
      </c>
      <c r="G28">
        <v>17</v>
      </c>
      <c r="H28">
        <v>0</v>
      </c>
      <c r="I28" s="1">
        <v>5.3587962962962962E-2</v>
      </c>
      <c r="J28">
        <v>172</v>
      </c>
      <c r="K28">
        <v>71.67</v>
      </c>
      <c r="L28" t="s">
        <v>150</v>
      </c>
      <c r="M28" s="2">
        <v>46095.446261574078</v>
      </c>
      <c r="N28" s="2">
        <v>46095.499861111108</v>
      </c>
      <c r="O28" t="s">
        <v>26</v>
      </c>
      <c r="Q28" t="s">
        <v>26</v>
      </c>
      <c r="R28">
        <v>64</v>
      </c>
      <c r="S28">
        <v>4</v>
      </c>
      <c r="T28">
        <v>16</v>
      </c>
      <c r="U28">
        <v>56</v>
      </c>
      <c r="V28">
        <v>6</v>
      </c>
      <c r="W28">
        <v>14</v>
      </c>
      <c r="X28">
        <v>52</v>
      </c>
      <c r="Y28">
        <v>7</v>
      </c>
      <c r="Z28">
        <v>13</v>
      </c>
      <c r="AA28">
        <v>64</v>
      </c>
      <c r="AB28">
        <v>4</v>
      </c>
      <c r="AC28">
        <v>16</v>
      </c>
      <c r="AD28">
        <v>56</v>
      </c>
      <c r="AE28">
        <v>6</v>
      </c>
      <c r="AF28">
        <v>14</v>
      </c>
      <c r="AG28">
        <v>52</v>
      </c>
      <c r="AH28">
        <v>7</v>
      </c>
      <c r="AI28">
        <v>13</v>
      </c>
    </row>
    <row r="29" spans="1:35">
      <c r="A29" t="s">
        <v>151</v>
      </c>
      <c r="B29" t="s">
        <v>152</v>
      </c>
      <c r="F29">
        <v>42</v>
      </c>
      <c r="G29">
        <v>18</v>
      </c>
      <c r="H29">
        <v>0</v>
      </c>
      <c r="I29" s="1">
        <v>4.1736111111111113E-2</v>
      </c>
      <c r="J29">
        <v>168</v>
      </c>
      <c r="K29">
        <v>70</v>
      </c>
      <c r="L29" t="s">
        <v>150</v>
      </c>
      <c r="M29" s="2">
        <v>46095.450486111113</v>
      </c>
      <c r="N29" s="2">
        <v>46095.4922337963</v>
      </c>
      <c r="O29" t="s">
        <v>26</v>
      </c>
      <c r="Q29" t="s">
        <v>26</v>
      </c>
      <c r="R29">
        <v>48</v>
      </c>
      <c r="S29">
        <v>8</v>
      </c>
      <c r="T29">
        <v>12</v>
      </c>
      <c r="U29">
        <v>60</v>
      </c>
      <c r="V29">
        <v>5</v>
      </c>
      <c r="W29">
        <v>15</v>
      </c>
      <c r="X29">
        <v>60</v>
      </c>
      <c r="Y29">
        <v>5</v>
      </c>
      <c r="Z29">
        <v>15</v>
      </c>
      <c r="AA29">
        <v>48</v>
      </c>
      <c r="AB29">
        <v>8</v>
      </c>
      <c r="AC29">
        <v>12</v>
      </c>
      <c r="AD29">
        <v>60</v>
      </c>
      <c r="AE29">
        <v>5</v>
      </c>
      <c r="AF29">
        <v>15</v>
      </c>
      <c r="AG29">
        <v>60</v>
      </c>
      <c r="AH29">
        <v>5</v>
      </c>
      <c r="AI29">
        <v>15</v>
      </c>
    </row>
    <row r="30" spans="1:35">
      <c r="A30" t="s">
        <v>146</v>
      </c>
      <c r="B30" t="s">
        <v>147</v>
      </c>
      <c r="F30">
        <v>41</v>
      </c>
      <c r="G30">
        <v>19</v>
      </c>
      <c r="H30">
        <v>0</v>
      </c>
      <c r="I30" s="1">
        <v>3.4652777777777775E-2</v>
      </c>
      <c r="J30">
        <v>164</v>
      </c>
      <c r="K30">
        <v>68.33</v>
      </c>
      <c r="L30" t="s">
        <v>60</v>
      </c>
      <c r="M30" s="2">
        <v>46095.434733796297</v>
      </c>
      <c r="N30" s="2">
        <v>46095.469386574077</v>
      </c>
      <c r="O30" t="s">
        <v>26</v>
      </c>
      <c r="Q30" t="s">
        <v>26</v>
      </c>
      <c r="R30">
        <v>68</v>
      </c>
      <c r="S30">
        <v>3</v>
      </c>
      <c r="T30">
        <v>17</v>
      </c>
      <c r="U30">
        <v>40</v>
      </c>
      <c r="V30">
        <v>10</v>
      </c>
      <c r="W30">
        <v>10</v>
      </c>
      <c r="X30">
        <v>56</v>
      </c>
      <c r="Y30">
        <v>6</v>
      </c>
      <c r="Z30">
        <v>14</v>
      </c>
      <c r="AA30">
        <v>68</v>
      </c>
      <c r="AB30">
        <v>3</v>
      </c>
      <c r="AC30">
        <v>17</v>
      </c>
      <c r="AD30">
        <v>40</v>
      </c>
      <c r="AE30">
        <v>10</v>
      </c>
      <c r="AF30">
        <v>10</v>
      </c>
      <c r="AG30">
        <v>56</v>
      </c>
      <c r="AH30">
        <v>6</v>
      </c>
      <c r="AI30">
        <v>14</v>
      </c>
    </row>
    <row r="31" spans="1:35">
      <c r="A31" t="s">
        <v>120</v>
      </c>
      <c r="B31" t="s">
        <v>121</v>
      </c>
      <c r="F31">
        <v>39</v>
      </c>
      <c r="G31">
        <v>21</v>
      </c>
      <c r="H31">
        <v>0</v>
      </c>
      <c r="I31" s="1">
        <v>3.3819444444444444E-2</v>
      </c>
      <c r="J31">
        <v>156</v>
      </c>
      <c r="K31">
        <v>65</v>
      </c>
      <c r="L31" t="s">
        <v>55</v>
      </c>
      <c r="M31" s="2">
        <v>46095.432928240742</v>
      </c>
      <c r="N31" s="2">
        <v>46095.466747685183</v>
      </c>
      <c r="O31" t="s">
        <v>26</v>
      </c>
      <c r="Q31" t="s">
        <v>26</v>
      </c>
      <c r="R31">
        <v>64</v>
      </c>
      <c r="S31">
        <v>4</v>
      </c>
      <c r="T31">
        <v>16</v>
      </c>
      <c r="U31">
        <v>48</v>
      </c>
      <c r="V31">
        <v>8</v>
      </c>
      <c r="W31">
        <v>12</v>
      </c>
      <c r="X31">
        <v>44</v>
      </c>
      <c r="Y31">
        <v>9</v>
      </c>
      <c r="Z31">
        <v>11</v>
      </c>
      <c r="AA31">
        <v>64</v>
      </c>
      <c r="AB31">
        <v>4</v>
      </c>
      <c r="AC31">
        <v>16</v>
      </c>
      <c r="AD31">
        <v>48</v>
      </c>
      <c r="AE31">
        <v>8</v>
      </c>
      <c r="AF31">
        <v>12</v>
      </c>
      <c r="AG31">
        <v>44</v>
      </c>
      <c r="AH31">
        <v>9</v>
      </c>
      <c r="AI31">
        <v>11</v>
      </c>
    </row>
    <row r="32" spans="1:35">
      <c r="A32" t="s">
        <v>70</v>
      </c>
      <c r="B32" t="s">
        <v>71</v>
      </c>
      <c r="F32">
        <v>39</v>
      </c>
      <c r="G32">
        <v>21</v>
      </c>
      <c r="H32">
        <v>0</v>
      </c>
      <c r="I32" s="1">
        <v>4.3923611111111108E-2</v>
      </c>
      <c r="J32">
        <v>156</v>
      </c>
      <c r="K32">
        <v>65</v>
      </c>
      <c r="L32" t="s">
        <v>69</v>
      </c>
      <c r="M32" s="2">
        <v>46095.431296296294</v>
      </c>
      <c r="N32" s="2">
        <v>46095.475231481483</v>
      </c>
      <c r="O32" t="s">
        <v>26</v>
      </c>
      <c r="Q32" t="s">
        <v>26</v>
      </c>
      <c r="R32">
        <v>68</v>
      </c>
      <c r="S32">
        <v>3</v>
      </c>
      <c r="T32">
        <v>17</v>
      </c>
      <c r="U32">
        <v>48</v>
      </c>
      <c r="V32">
        <v>8</v>
      </c>
      <c r="W32">
        <v>12</v>
      </c>
      <c r="X32">
        <v>40</v>
      </c>
      <c r="Y32">
        <v>10</v>
      </c>
      <c r="Z32">
        <v>10</v>
      </c>
      <c r="AA32">
        <v>68</v>
      </c>
      <c r="AB32">
        <v>3</v>
      </c>
      <c r="AC32">
        <v>17</v>
      </c>
      <c r="AD32">
        <v>48</v>
      </c>
      <c r="AE32">
        <v>8</v>
      </c>
      <c r="AF32">
        <v>12</v>
      </c>
      <c r="AG32">
        <v>40</v>
      </c>
      <c r="AH32">
        <v>10</v>
      </c>
      <c r="AI32">
        <v>10</v>
      </c>
    </row>
    <row r="33" spans="1:35">
      <c r="A33" t="s">
        <v>122</v>
      </c>
      <c r="B33" t="s">
        <v>123</v>
      </c>
      <c r="F33">
        <v>39</v>
      </c>
      <c r="G33">
        <v>21</v>
      </c>
      <c r="H33">
        <v>0</v>
      </c>
      <c r="I33" s="1">
        <v>1.9050925925925926E-2</v>
      </c>
      <c r="J33">
        <v>156</v>
      </c>
      <c r="K33">
        <v>65</v>
      </c>
      <c r="L33" t="s">
        <v>60</v>
      </c>
      <c r="M33" s="2">
        <v>46095.432384259257</v>
      </c>
      <c r="N33" s="2">
        <v>46095.451435185183</v>
      </c>
      <c r="O33" t="s">
        <v>26</v>
      </c>
      <c r="Q33" t="s">
        <v>26</v>
      </c>
      <c r="R33">
        <v>64</v>
      </c>
      <c r="S33">
        <v>4</v>
      </c>
      <c r="T33">
        <v>16</v>
      </c>
      <c r="U33">
        <v>56</v>
      </c>
      <c r="V33">
        <v>6</v>
      </c>
      <c r="W33">
        <v>14</v>
      </c>
      <c r="X33">
        <v>36</v>
      </c>
      <c r="Y33">
        <v>11</v>
      </c>
      <c r="Z33">
        <v>9</v>
      </c>
      <c r="AA33">
        <v>64</v>
      </c>
      <c r="AB33">
        <v>4</v>
      </c>
      <c r="AC33">
        <v>16</v>
      </c>
      <c r="AD33">
        <v>56</v>
      </c>
      <c r="AE33">
        <v>6</v>
      </c>
      <c r="AF33">
        <v>14</v>
      </c>
      <c r="AG33">
        <v>36</v>
      </c>
      <c r="AH33">
        <v>11</v>
      </c>
      <c r="AI33">
        <v>9</v>
      </c>
    </row>
    <row r="34" spans="1:35">
      <c r="A34" t="s">
        <v>185</v>
      </c>
      <c r="B34" t="s">
        <v>186</v>
      </c>
      <c r="F34">
        <v>39</v>
      </c>
      <c r="G34">
        <v>21</v>
      </c>
      <c r="H34">
        <v>0</v>
      </c>
      <c r="I34" s="1">
        <v>3.7881944444444447E-2</v>
      </c>
      <c r="J34">
        <v>156</v>
      </c>
      <c r="K34">
        <v>65</v>
      </c>
      <c r="L34" t="s">
        <v>150</v>
      </c>
      <c r="M34" s="2">
        <v>46095.448310185187</v>
      </c>
      <c r="N34" s="2">
        <v>46095.486192129632</v>
      </c>
      <c r="O34" t="s">
        <v>26</v>
      </c>
      <c r="Q34" t="s">
        <v>26</v>
      </c>
      <c r="R34">
        <v>60</v>
      </c>
      <c r="S34">
        <v>5</v>
      </c>
      <c r="T34">
        <v>15</v>
      </c>
      <c r="U34">
        <v>64</v>
      </c>
      <c r="V34">
        <v>4</v>
      </c>
      <c r="W34">
        <v>16</v>
      </c>
      <c r="X34">
        <v>32</v>
      </c>
      <c r="Y34">
        <v>12</v>
      </c>
      <c r="Z34">
        <v>8</v>
      </c>
      <c r="AA34">
        <v>60</v>
      </c>
      <c r="AB34">
        <v>5</v>
      </c>
      <c r="AC34">
        <v>15</v>
      </c>
      <c r="AD34">
        <v>64</v>
      </c>
      <c r="AE34">
        <v>4</v>
      </c>
      <c r="AF34">
        <v>16</v>
      </c>
      <c r="AG34">
        <v>32</v>
      </c>
      <c r="AH34">
        <v>12</v>
      </c>
      <c r="AI34">
        <v>8</v>
      </c>
    </row>
    <row r="35" spans="1:35">
      <c r="A35" t="s">
        <v>110</v>
      </c>
      <c r="B35" t="s">
        <v>111</v>
      </c>
      <c r="F35">
        <v>39</v>
      </c>
      <c r="G35">
        <v>21</v>
      </c>
      <c r="H35">
        <v>0</v>
      </c>
      <c r="I35" s="1">
        <v>5.5532407407407405E-2</v>
      </c>
      <c r="J35">
        <v>156</v>
      </c>
      <c r="K35">
        <v>65</v>
      </c>
      <c r="L35" t="s">
        <v>60</v>
      </c>
      <c r="M35" s="2">
        <v>46095.444641203707</v>
      </c>
      <c r="N35" s="2">
        <v>46095.500185185185</v>
      </c>
      <c r="O35" t="s">
        <v>26</v>
      </c>
      <c r="Q35" t="s">
        <v>26</v>
      </c>
      <c r="R35">
        <v>76</v>
      </c>
      <c r="S35">
        <v>1</v>
      </c>
      <c r="T35">
        <v>19</v>
      </c>
      <c r="U35">
        <v>48</v>
      </c>
      <c r="V35">
        <v>8</v>
      </c>
      <c r="W35">
        <v>12</v>
      </c>
      <c r="X35">
        <v>32</v>
      </c>
      <c r="Y35">
        <v>12</v>
      </c>
      <c r="Z35">
        <v>8</v>
      </c>
      <c r="AA35">
        <v>76</v>
      </c>
      <c r="AB35">
        <v>1</v>
      </c>
      <c r="AC35">
        <v>19</v>
      </c>
      <c r="AD35">
        <v>48</v>
      </c>
      <c r="AE35">
        <v>8</v>
      </c>
      <c r="AF35">
        <v>12</v>
      </c>
      <c r="AG35">
        <v>32</v>
      </c>
      <c r="AH35">
        <v>12</v>
      </c>
      <c r="AI35">
        <v>8</v>
      </c>
    </row>
    <row r="36" spans="1:35">
      <c r="A36" t="s">
        <v>213</v>
      </c>
      <c r="B36" t="s">
        <v>214</v>
      </c>
      <c r="F36">
        <v>38</v>
      </c>
      <c r="G36">
        <v>21</v>
      </c>
      <c r="H36">
        <v>1</v>
      </c>
      <c r="I36" s="1">
        <v>2.1863425925925925E-2</v>
      </c>
      <c r="J36">
        <v>152</v>
      </c>
      <c r="K36">
        <v>63.33</v>
      </c>
      <c r="L36" t="s">
        <v>69</v>
      </c>
      <c r="M36" s="2">
        <v>46095.432384259257</v>
      </c>
      <c r="N36" s="2">
        <v>46095.454247685186</v>
      </c>
      <c r="O36" t="s">
        <v>26</v>
      </c>
      <c r="Q36" t="s">
        <v>26</v>
      </c>
      <c r="R36">
        <v>72</v>
      </c>
      <c r="S36">
        <v>2</v>
      </c>
      <c r="T36">
        <v>18</v>
      </c>
      <c r="U36">
        <v>48</v>
      </c>
      <c r="V36">
        <v>8</v>
      </c>
      <c r="W36">
        <v>12</v>
      </c>
      <c r="X36">
        <v>32</v>
      </c>
      <c r="Y36">
        <v>11</v>
      </c>
      <c r="Z36">
        <v>8</v>
      </c>
      <c r="AA36">
        <v>72</v>
      </c>
      <c r="AB36">
        <v>2</v>
      </c>
      <c r="AC36">
        <v>18</v>
      </c>
      <c r="AD36">
        <v>48</v>
      </c>
      <c r="AE36">
        <v>8</v>
      </c>
      <c r="AF36">
        <v>12</v>
      </c>
      <c r="AG36">
        <v>32</v>
      </c>
      <c r="AH36">
        <v>11</v>
      </c>
      <c r="AI36">
        <v>8</v>
      </c>
    </row>
    <row r="37" spans="1:35">
      <c r="A37" t="s">
        <v>126</v>
      </c>
      <c r="B37" t="s">
        <v>127</v>
      </c>
      <c r="F37">
        <v>38</v>
      </c>
      <c r="G37">
        <v>22</v>
      </c>
      <c r="H37">
        <v>0</v>
      </c>
      <c r="I37" s="1">
        <v>2.2916666666666665E-2</v>
      </c>
      <c r="J37">
        <v>152</v>
      </c>
      <c r="K37">
        <v>63.33</v>
      </c>
      <c r="L37" t="s">
        <v>69</v>
      </c>
      <c r="M37" s="2">
        <v>46095.43377314815</v>
      </c>
      <c r="N37" s="2">
        <v>46095.456701388888</v>
      </c>
      <c r="O37" t="s">
        <v>26</v>
      </c>
      <c r="Q37" t="s">
        <v>26</v>
      </c>
      <c r="R37">
        <v>52</v>
      </c>
      <c r="S37">
        <v>7</v>
      </c>
      <c r="T37">
        <v>13</v>
      </c>
      <c r="U37">
        <v>44</v>
      </c>
      <c r="V37">
        <v>9</v>
      </c>
      <c r="W37">
        <v>11</v>
      </c>
      <c r="X37">
        <v>56</v>
      </c>
      <c r="Y37">
        <v>6</v>
      </c>
      <c r="Z37">
        <v>14</v>
      </c>
      <c r="AA37">
        <v>52</v>
      </c>
      <c r="AB37">
        <v>7</v>
      </c>
      <c r="AC37">
        <v>13</v>
      </c>
      <c r="AD37">
        <v>44</v>
      </c>
      <c r="AE37">
        <v>9</v>
      </c>
      <c r="AF37">
        <v>11</v>
      </c>
      <c r="AG37">
        <v>56</v>
      </c>
      <c r="AH37">
        <v>6</v>
      </c>
      <c r="AI37">
        <v>14</v>
      </c>
    </row>
    <row r="38" spans="1:35">
      <c r="A38" t="s">
        <v>130</v>
      </c>
      <c r="B38" t="s">
        <v>131</v>
      </c>
      <c r="F38">
        <v>38</v>
      </c>
      <c r="G38">
        <v>22</v>
      </c>
      <c r="H38">
        <v>0</v>
      </c>
      <c r="I38" s="1">
        <v>1.6736111111111111E-2</v>
      </c>
      <c r="J38">
        <v>152</v>
      </c>
      <c r="K38">
        <v>63.33</v>
      </c>
      <c r="L38" t="s">
        <v>60</v>
      </c>
      <c r="M38" s="2">
        <v>46095.434988425928</v>
      </c>
      <c r="N38" s="2">
        <v>46095.451724537037</v>
      </c>
      <c r="O38" t="s">
        <v>26</v>
      </c>
      <c r="Q38" t="s">
        <v>26</v>
      </c>
      <c r="R38">
        <v>52</v>
      </c>
      <c r="S38">
        <v>7</v>
      </c>
      <c r="T38">
        <v>13</v>
      </c>
      <c r="U38">
        <v>48</v>
      </c>
      <c r="V38">
        <v>8</v>
      </c>
      <c r="W38">
        <v>12</v>
      </c>
      <c r="X38">
        <v>52</v>
      </c>
      <c r="Y38">
        <v>7</v>
      </c>
      <c r="Z38">
        <v>13</v>
      </c>
      <c r="AA38">
        <v>52</v>
      </c>
      <c r="AB38">
        <v>7</v>
      </c>
      <c r="AC38">
        <v>13</v>
      </c>
      <c r="AD38">
        <v>48</v>
      </c>
      <c r="AE38">
        <v>8</v>
      </c>
      <c r="AF38">
        <v>12</v>
      </c>
      <c r="AG38">
        <v>52</v>
      </c>
      <c r="AH38">
        <v>7</v>
      </c>
      <c r="AI38">
        <v>13</v>
      </c>
    </row>
    <row r="39" spans="1:35">
      <c r="A39" t="s">
        <v>67</v>
      </c>
      <c r="B39" t="s">
        <v>68</v>
      </c>
      <c r="F39">
        <v>37</v>
      </c>
      <c r="G39">
        <v>23</v>
      </c>
      <c r="H39">
        <v>0</v>
      </c>
      <c r="I39" s="1">
        <v>2.3865740740740739E-2</v>
      </c>
      <c r="J39">
        <v>148</v>
      </c>
      <c r="K39">
        <v>61.67</v>
      </c>
      <c r="L39" t="s">
        <v>69</v>
      </c>
      <c r="M39" s="2">
        <v>46095.43309027778</v>
      </c>
      <c r="N39" s="2">
        <v>46095.456956018519</v>
      </c>
      <c r="O39" t="s">
        <v>26</v>
      </c>
      <c r="Q39" t="s">
        <v>26</v>
      </c>
      <c r="R39">
        <v>64</v>
      </c>
      <c r="S39">
        <v>4</v>
      </c>
      <c r="T39">
        <v>16</v>
      </c>
      <c r="U39">
        <v>44</v>
      </c>
      <c r="V39">
        <v>9</v>
      </c>
      <c r="W39">
        <v>11</v>
      </c>
      <c r="X39">
        <v>40</v>
      </c>
      <c r="Y39">
        <v>10</v>
      </c>
      <c r="Z39">
        <v>10</v>
      </c>
      <c r="AA39">
        <v>64</v>
      </c>
      <c r="AB39">
        <v>4</v>
      </c>
      <c r="AC39">
        <v>16</v>
      </c>
      <c r="AD39">
        <v>44</v>
      </c>
      <c r="AE39">
        <v>9</v>
      </c>
      <c r="AF39">
        <v>11</v>
      </c>
      <c r="AG39">
        <v>40</v>
      </c>
      <c r="AH39">
        <v>10</v>
      </c>
      <c r="AI39">
        <v>10</v>
      </c>
    </row>
    <row r="40" spans="1:35">
      <c r="A40" t="s">
        <v>80</v>
      </c>
      <c r="B40" t="s">
        <v>81</v>
      </c>
      <c r="F40">
        <v>37</v>
      </c>
      <c r="G40">
        <v>23</v>
      </c>
      <c r="H40">
        <v>0</v>
      </c>
      <c r="I40" s="1">
        <v>1.8541666666666668E-2</v>
      </c>
      <c r="J40">
        <v>148</v>
      </c>
      <c r="K40">
        <v>61.67</v>
      </c>
      <c r="L40" t="s">
        <v>60</v>
      </c>
      <c r="M40" s="2">
        <v>46095.432268518518</v>
      </c>
      <c r="N40" s="2">
        <v>46095.450810185182</v>
      </c>
      <c r="O40" t="s">
        <v>26</v>
      </c>
      <c r="Q40" t="s">
        <v>26</v>
      </c>
      <c r="R40">
        <v>68</v>
      </c>
      <c r="S40">
        <v>3</v>
      </c>
      <c r="T40">
        <v>17</v>
      </c>
      <c r="U40">
        <v>44</v>
      </c>
      <c r="V40">
        <v>9</v>
      </c>
      <c r="W40">
        <v>11</v>
      </c>
      <c r="X40">
        <v>36</v>
      </c>
      <c r="Y40">
        <v>11</v>
      </c>
      <c r="Z40">
        <v>9</v>
      </c>
      <c r="AA40">
        <v>68</v>
      </c>
      <c r="AB40">
        <v>3</v>
      </c>
      <c r="AC40">
        <v>17</v>
      </c>
      <c r="AD40">
        <v>44</v>
      </c>
      <c r="AE40">
        <v>9</v>
      </c>
      <c r="AF40">
        <v>11</v>
      </c>
      <c r="AG40">
        <v>36</v>
      </c>
      <c r="AH40">
        <v>11</v>
      </c>
      <c r="AI40">
        <v>9</v>
      </c>
    </row>
    <row r="41" spans="1:35">
      <c r="A41" t="s">
        <v>219</v>
      </c>
      <c r="B41" t="s">
        <v>220</v>
      </c>
      <c r="F41">
        <v>37</v>
      </c>
      <c r="G41">
        <v>23</v>
      </c>
      <c r="H41">
        <v>0</v>
      </c>
      <c r="I41" s="1">
        <v>2.7974537037037037E-2</v>
      </c>
      <c r="J41">
        <v>148</v>
      </c>
      <c r="K41">
        <v>61.67</v>
      </c>
      <c r="L41" t="s">
        <v>69</v>
      </c>
      <c r="M41" s="2">
        <v>46095.435300925928</v>
      </c>
      <c r="N41" s="2">
        <v>46095.463275462964</v>
      </c>
      <c r="O41" t="s">
        <v>26</v>
      </c>
      <c r="Q41" t="s">
        <v>26</v>
      </c>
      <c r="R41">
        <v>60</v>
      </c>
      <c r="S41">
        <v>5</v>
      </c>
      <c r="T41">
        <v>15</v>
      </c>
      <c r="U41">
        <v>48</v>
      </c>
      <c r="V41">
        <v>8</v>
      </c>
      <c r="W41">
        <v>12</v>
      </c>
      <c r="X41">
        <v>40</v>
      </c>
      <c r="Y41">
        <v>10</v>
      </c>
      <c r="Z41">
        <v>10</v>
      </c>
      <c r="AA41">
        <v>60</v>
      </c>
      <c r="AB41">
        <v>5</v>
      </c>
      <c r="AC41">
        <v>15</v>
      </c>
      <c r="AD41">
        <v>48</v>
      </c>
      <c r="AE41">
        <v>8</v>
      </c>
      <c r="AF41">
        <v>12</v>
      </c>
      <c r="AG41">
        <v>40</v>
      </c>
      <c r="AH41">
        <v>10</v>
      </c>
      <c r="AI41">
        <v>10</v>
      </c>
    </row>
    <row r="42" spans="1:35">
      <c r="A42" t="s">
        <v>193</v>
      </c>
      <c r="B42" t="s">
        <v>194</v>
      </c>
      <c r="F42">
        <v>36</v>
      </c>
      <c r="G42">
        <v>24</v>
      </c>
      <c r="H42">
        <v>0</v>
      </c>
      <c r="I42" s="1">
        <v>5.334490740740741E-2</v>
      </c>
      <c r="J42">
        <v>144</v>
      </c>
      <c r="K42">
        <v>60</v>
      </c>
      <c r="L42" t="s">
        <v>55</v>
      </c>
      <c r="M42" s="2">
        <v>46095.437210648146</v>
      </c>
      <c r="N42" s="2">
        <v>46095.490567129629</v>
      </c>
      <c r="O42" t="s">
        <v>26</v>
      </c>
      <c r="Q42" t="s">
        <v>26</v>
      </c>
      <c r="R42">
        <v>56</v>
      </c>
      <c r="S42">
        <v>6</v>
      </c>
      <c r="T42">
        <v>14</v>
      </c>
      <c r="U42">
        <v>36</v>
      </c>
      <c r="V42">
        <v>11</v>
      </c>
      <c r="W42">
        <v>9</v>
      </c>
      <c r="X42">
        <v>52</v>
      </c>
      <c r="Y42">
        <v>7</v>
      </c>
      <c r="Z42">
        <v>13</v>
      </c>
      <c r="AA42">
        <v>56</v>
      </c>
      <c r="AB42">
        <v>6</v>
      </c>
      <c r="AC42">
        <v>14</v>
      </c>
      <c r="AD42">
        <v>36</v>
      </c>
      <c r="AE42">
        <v>11</v>
      </c>
      <c r="AF42">
        <v>9</v>
      </c>
      <c r="AG42">
        <v>52</v>
      </c>
      <c r="AH42">
        <v>7</v>
      </c>
      <c r="AI42">
        <v>13</v>
      </c>
    </row>
    <row r="43" spans="1:35">
      <c r="A43" t="s">
        <v>61</v>
      </c>
      <c r="B43" t="s">
        <v>62</v>
      </c>
      <c r="F43">
        <v>34</v>
      </c>
      <c r="G43">
        <v>26</v>
      </c>
      <c r="H43">
        <v>0</v>
      </c>
      <c r="I43" s="1">
        <v>2.179398148148148E-2</v>
      </c>
      <c r="J43">
        <v>136</v>
      </c>
      <c r="K43">
        <v>56.67</v>
      </c>
      <c r="L43" t="s">
        <v>60</v>
      </c>
      <c r="M43" s="2">
        <v>46095.434201388889</v>
      </c>
      <c r="N43" s="2">
        <v>46095.455995370372</v>
      </c>
      <c r="O43" t="s">
        <v>26</v>
      </c>
      <c r="Q43" t="s">
        <v>26</v>
      </c>
      <c r="R43">
        <v>60</v>
      </c>
      <c r="S43">
        <v>5</v>
      </c>
      <c r="T43">
        <v>15</v>
      </c>
      <c r="U43">
        <v>36</v>
      </c>
      <c r="V43">
        <v>11</v>
      </c>
      <c r="W43">
        <v>9</v>
      </c>
      <c r="X43">
        <v>40</v>
      </c>
      <c r="Y43">
        <v>10</v>
      </c>
      <c r="Z43">
        <v>10</v>
      </c>
      <c r="AA43">
        <v>60</v>
      </c>
      <c r="AB43">
        <v>5</v>
      </c>
      <c r="AC43">
        <v>15</v>
      </c>
      <c r="AD43">
        <v>36</v>
      </c>
      <c r="AE43">
        <v>11</v>
      </c>
      <c r="AF43">
        <v>9</v>
      </c>
      <c r="AG43">
        <v>40</v>
      </c>
      <c r="AH43">
        <v>10</v>
      </c>
      <c r="AI43">
        <v>10</v>
      </c>
    </row>
    <row r="44" spans="1:35">
      <c r="A44" t="s">
        <v>155</v>
      </c>
      <c r="B44" t="s">
        <v>156</v>
      </c>
      <c r="F44">
        <v>34</v>
      </c>
      <c r="G44">
        <v>26</v>
      </c>
      <c r="H44">
        <v>0</v>
      </c>
      <c r="I44" s="1">
        <v>5.5208333333333331E-2</v>
      </c>
      <c r="J44">
        <v>136</v>
      </c>
      <c r="K44">
        <v>56.67</v>
      </c>
      <c r="L44" t="s">
        <v>150</v>
      </c>
      <c r="M44" s="2">
        <v>46095.444016203706</v>
      </c>
      <c r="N44" s="2">
        <v>46095.499224537038</v>
      </c>
      <c r="O44" t="s">
        <v>26</v>
      </c>
      <c r="Q44" t="s">
        <v>26</v>
      </c>
      <c r="R44">
        <v>52</v>
      </c>
      <c r="S44">
        <v>7</v>
      </c>
      <c r="T44">
        <v>13</v>
      </c>
      <c r="U44">
        <v>44</v>
      </c>
      <c r="V44">
        <v>9</v>
      </c>
      <c r="W44">
        <v>11</v>
      </c>
      <c r="X44">
        <v>40</v>
      </c>
      <c r="Y44">
        <v>10</v>
      </c>
      <c r="Z44">
        <v>10</v>
      </c>
      <c r="AA44">
        <v>52</v>
      </c>
      <c r="AB44">
        <v>7</v>
      </c>
      <c r="AC44">
        <v>13</v>
      </c>
      <c r="AD44">
        <v>44</v>
      </c>
      <c r="AE44">
        <v>9</v>
      </c>
      <c r="AF44">
        <v>11</v>
      </c>
      <c r="AG44">
        <v>40</v>
      </c>
      <c r="AH44">
        <v>10</v>
      </c>
      <c r="AI44">
        <v>10</v>
      </c>
    </row>
    <row r="45" spans="1:35">
      <c r="A45" t="s">
        <v>72</v>
      </c>
      <c r="B45" t="s">
        <v>73</v>
      </c>
      <c r="F45">
        <v>30</v>
      </c>
      <c r="G45">
        <v>29</v>
      </c>
      <c r="H45">
        <v>1</v>
      </c>
      <c r="I45" s="1">
        <v>5.1446759259259262E-2</v>
      </c>
      <c r="J45">
        <v>120</v>
      </c>
      <c r="K45">
        <v>50</v>
      </c>
      <c r="L45" t="s">
        <v>60</v>
      </c>
      <c r="M45" s="2">
        <v>46095.436782407407</v>
      </c>
      <c r="N45" s="2">
        <v>46095.488229166665</v>
      </c>
      <c r="O45" t="s">
        <v>26</v>
      </c>
      <c r="Q45" t="s">
        <v>26</v>
      </c>
      <c r="R45">
        <v>52</v>
      </c>
      <c r="S45">
        <v>6</v>
      </c>
      <c r="T45">
        <v>13</v>
      </c>
      <c r="U45">
        <v>44</v>
      </c>
      <c r="V45">
        <v>9</v>
      </c>
      <c r="W45">
        <v>11</v>
      </c>
      <c r="X45">
        <v>24</v>
      </c>
      <c r="Y45">
        <v>14</v>
      </c>
      <c r="Z45">
        <v>6</v>
      </c>
      <c r="AA45">
        <v>52</v>
      </c>
      <c r="AB45">
        <v>6</v>
      </c>
      <c r="AC45">
        <v>13</v>
      </c>
      <c r="AD45">
        <v>44</v>
      </c>
      <c r="AE45">
        <v>9</v>
      </c>
      <c r="AF45">
        <v>11</v>
      </c>
      <c r="AG45">
        <v>24</v>
      </c>
      <c r="AH45">
        <v>14</v>
      </c>
      <c r="AI45">
        <v>6</v>
      </c>
    </row>
    <row r="46" spans="1:35">
      <c r="A46" t="s">
        <v>63</v>
      </c>
      <c r="B46" t="s">
        <v>64</v>
      </c>
      <c r="F46">
        <v>29</v>
      </c>
      <c r="G46">
        <v>31</v>
      </c>
      <c r="H46">
        <v>0</v>
      </c>
      <c r="I46" s="1">
        <v>4.9328703703703701E-2</v>
      </c>
      <c r="J46">
        <v>116</v>
      </c>
      <c r="K46">
        <v>48.33</v>
      </c>
      <c r="L46" t="s">
        <v>55</v>
      </c>
      <c r="M46" s="2">
        <v>46095.431932870371</v>
      </c>
      <c r="N46" s="2">
        <v>46095.481273148151</v>
      </c>
      <c r="O46" t="s">
        <v>26</v>
      </c>
      <c r="Q46" t="s">
        <v>26</v>
      </c>
      <c r="R46">
        <v>52</v>
      </c>
      <c r="S46">
        <v>7</v>
      </c>
      <c r="T46">
        <v>13</v>
      </c>
      <c r="U46">
        <v>36</v>
      </c>
      <c r="V46">
        <v>11</v>
      </c>
      <c r="W46">
        <v>9</v>
      </c>
      <c r="X46">
        <v>28</v>
      </c>
      <c r="Y46">
        <v>13</v>
      </c>
      <c r="Z46">
        <v>7</v>
      </c>
      <c r="AA46">
        <v>52</v>
      </c>
      <c r="AB46">
        <v>7</v>
      </c>
      <c r="AC46">
        <v>13</v>
      </c>
      <c r="AD46">
        <v>36</v>
      </c>
      <c r="AE46">
        <v>11</v>
      </c>
      <c r="AF46">
        <v>9</v>
      </c>
      <c r="AG46">
        <v>28</v>
      </c>
      <c r="AH46">
        <v>13</v>
      </c>
      <c r="AI46">
        <v>7</v>
      </c>
    </row>
    <row r="47" spans="1:35">
      <c r="A47" t="s">
        <v>90</v>
      </c>
      <c r="B47" t="s">
        <v>91</v>
      </c>
      <c r="F47">
        <v>28</v>
      </c>
      <c r="G47">
        <v>32</v>
      </c>
      <c r="H47">
        <v>0</v>
      </c>
      <c r="I47" s="1">
        <v>2.9513888888888888E-2</v>
      </c>
      <c r="J47">
        <v>112</v>
      </c>
      <c r="K47">
        <v>46.67</v>
      </c>
      <c r="L47" t="s">
        <v>55</v>
      </c>
      <c r="M47" s="2">
        <v>46095.434814814813</v>
      </c>
      <c r="N47" s="2">
        <v>46095.46434027778</v>
      </c>
      <c r="O47" t="s">
        <v>26</v>
      </c>
      <c r="Q47" t="s">
        <v>26</v>
      </c>
      <c r="R47">
        <v>24</v>
      </c>
      <c r="S47">
        <v>14</v>
      </c>
      <c r="T47">
        <v>6</v>
      </c>
      <c r="U47">
        <v>32</v>
      </c>
      <c r="V47">
        <v>12</v>
      </c>
      <c r="W47">
        <v>8</v>
      </c>
      <c r="X47">
        <v>56</v>
      </c>
      <c r="Y47">
        <v>6</v>
      </c>
      <c r="Z47">
        <v>14</v>
      </c>
      <c r="AA47">
        <v>24</v>
      </c>
      <c r="AB47">
        <v>14</v>
      </c>
      <c r="AC47">
        <v>6</v>
      </c>
      <c r="AD47">
        <v>32</v>
      </c>
      <c r="AE47">
        <v>12</v>
      </c>
      <c r="AF47">
        <v>8</v>
      </c>
      <c r="AG47">
        <v>56</v>
      </c>
      <c r="AH47">
        <v>6</v>
      </c>
      <c r="AI47">
        <v>14</v>
      </c>
    </row>
    <row r="48" spans="1:35">
      <c r="A48" t="s">
        <v>199</v>
      </c>
      <c r="B48" t="s">
        <v>200</v>
      </c>
      <c r="F48">
        <v>27</v>
      </c>
      <c r="G48">
        <v>33</v>
      </c>
      <c r="H48">
        <v>0</v>
      </c>
      <c r="I48" s="1">
        <v>3.5416666666666666E-2</v>
      </c>
      <c r="J48">
        <v>108</v>
      </c>
      <c r="K48">
        <v>45</v>
      </c>
      <c r="L48" t="s">
        <v>55</v>
      </c>
      <c r="M48" s="2">
        <v>46095.431087962963</v>
      </c>
      <c r="N48" s="2">
        <v>46095.466504629629</v>
      </c>
      <c r="O48" t="s">
        <v>26</v>
      </c>
      <c r="Q48" t="s">
        <v>26</v>
      </c>
      <c r="R48">
        <v>48</v>
      </c>
      <c r="S48">
        <v>8</v>
      </c>
      <c r="T48">
        <v>12</v>
      </c>
      <c r="U48">
        <v>24</v>
      </c>
      <c r="V48">
        <v>14</v>
      </c>
      <c r="W48">
        <v>6</v>
      </c>
      <c r="X48">
        <v>36</v>
      </c>
      <c r="Y48">
        <v>11</v>
      </c>
      <c r="Z48">
        <v>9</v>
      </c>
      <c r="AA48">
        <v>48</v>
      </c>
      <c r="AB48">
        <v>8</v>
      </c>
      <c r="AC48">
        <v>12</v>
      </c>
      <c r="AD48">
        <v>24</v>
      </c>
      <c r="AE48">
        <v>14</v>
      </c>
      <c r="AF48">
        <v>6</v>
      </c>
      <c r="AG48">
        <v>36</v>
      </c>
      <c r="AH48">
        <v>11</v>
      </c>
      <c r="AI48">
        <v>9</v>
      </c>
    </row>
    <row r="49" spans="1:35">
      <c r="A49" t="s">
        <v>118</v>
      </c>
      <c r="B49" t="s">
        <v>119</v>
      </c>
      <c r="F49">
        <v>27</v>
      </c>
      <c r="G49">
        <v>33</v>
      </c>
      <c r="H49">
        <v>0</v>
      </c>
      <c r="I49" s="1">
        <v>4.1134259259259259E-2</v>
      </c>
      <c r="J49">
        <v>108</v>
      </c>
      <c r="K49">
        <v>45</v>
      </c>
      <c r="L49" t="s">
        <v>69</v>
      </c>
      <c r="M49" s="2">
        <v>46095.440752314818</v>
      </c>
      <c r="N49" s="2">
        <v>46095.481886574074</v>
      </c>
      <c r="O49" t="s">
        <v>26</v>
      </c>
      <c r="Q49" t="s">
        <v>26</v>
      </c>
      <c r="R49">
        <v>40</v>
      </c>
      <c r="S49">
        <v>10</v>
      </c>
      <c r="T49">
        <v>10</v>
      </c>
      <c r="U49">
        <v>28</v>
      </c>
      <c r="V49">
        <v>13</v>
      </c>
      <c r="W49">
        <v>7</v>
      </c>
      <c r="X49">
        <v>40</v>
      </c>
      <c r="Y49">
        <v>10</v>
      </c>
      <c r="Z49">
        <v>10</v>
      </c>
      <c r="AA49">
        <v>40</v>
      </c>
      <c r="AB49">
        <v>10</v>
      </c>
      <c r="AC49">
        <v>10</v>
      </c>
      <c r="AD49">
        <v>28</v>
      </c>
      <c r="AE49">
        <v>13</v>
      </c>
      <c r="AF49">
        <v>7</v>
      </c>
      <c r="AG49">
        <v>40</v>
      </c>
      <c r="AH49">
        <v>10</v>
      </c>
      <c r="AI49">
        <v>10</v>
      </c>
    </row>
    <row r="50" spans="1:35">
      <c r="A50" t="s">
        <v>140</v>
      </c>
      <c r="B50" t="s">
        <v>141</v>
      </c>
      <c r="F50">
        <v>27</v>
      </c>
      <c r="G50">
        <v>33</v>
      </c>
      <c r="H50">
        <v>0</v>
      </c>
      <c r="I50" s="1">
        <v>5.5659722222222222E-2</v>
      </c>
      <c r="J50">
        <v>108</v>
      </c>
      <c r="K50">
        <v>45</v>
      </c>
      <c r="L50" t="s">
        <v>60</v>
      </c>
      <c r="M50" s="2">
        <v>46095.444675925923</v>
      </c>
      <c r="N50" s="2">
        <v>46095.500335648147</v>
      </c>
      <c r="O50" t="s">
        <v>26</v>
      </c>
      <c r="Q50" t="s">
        <v>26</v>
      </c>
      <c r="R50">
        <v>48</v>
      </c>
      <c r="S50">
        <v>8</v>
      </c>
      <c r="T50">
        <v>12</v>
      </c>
      <c r="U50">
        <v>32</v>
      </c>
      <c r="V50">
        <v>12</v>
      </c>
      <c r="W50">
        <v>8</v>
      </c>
      <c r="X50">
        <v>28</v>
      </c>
      <c r="Y50">
        <v>13</v>
      </c>
      <c r="Z50">
        <v>7</v>
      </c>
      <c r="AA50">
        <v>48</v>
      </c>
      <c r="AB50">
        <v>8</v>
      </c>
      <c r="AC50">
        <v>12</v>
      </c>
      <c r="AD50">
        <v>32</v>
      </c>
      <c r="AE50">
        <v>12</v>
      </c>
      <c r="AF50">
        <v>8</v>
      </c>
      <c r="AG50">
        <v>28</v>
      </c>
      <c r="AH50">
        <v>13</v>
      </c>
      <c r="AI50">
        <v>7</v>
      </c>
    </row>
    <row r="51" spans="1:35">
      <c r="A51" t="s">
        <v>100</v>
      </c>
      <c r="B51" t="s">
        <v>101</v>
      </c>
      <c r="F51">
        <v>24</v>
      </c>
      <c r="G51">
        <v>36</v>
      </c>
      <c r="H51">
        <v>0</v>
      </c>
      <c r="I51" s="1">
        <v>2.9930555555555554E-2</v>
      </c>
      <c r="J51">
        <v>96</v>
      </c>
      <c r="K51">
        <v>40</v>
      </c>
      <c r="L51" t="s">
        <v>69</v>
      </c>
      <c r="M51" s="2">
        <v>46095.438090277778</v>
      </c>
      <c r="N51" s="2">
        <v>46095.46802083333</v>
      </c>
      <c r="O51" t="s">
        <v>26</v>
      </c>
      <c r="Q51" t="s">
        <v>26</v>
      </c>
      <c r="R51">
        <v>32</v>
      </c>
      <c r="S51">
        <v>12</v>
      </c>
      <c r="T51">
        <v>8</v>
      </c>
      <c r="U51">
        <v>28</v>
      </c>
      <c r="V51">
        <v>13</v>
      </c>
      <c r="W51">
        <v>7</v>
      </c>
      <c r="X51">
        <v>36</v>
      </c>
      <c r="Y51">
        <v>11</v>
      </c>
      <c r="Z51">
        <v>9</v>
      </c>
      <c r="AA51">
        <v>32</v>
      </c>
      <c r="AB51">
        <v>12</v>
      </c>
      <c r="AC51">
        <v>8</v>
      </c>
      <c r="AD51">
        <v>28</v>
      </c>
      <c r="AE51">
        <v>13</v>
      </c>
      <c r="AF51">
        <v>7</v>
      </c>
      <c r="AG51">
        <v>36</v>
      </c>
      <c r="AH51">
        <v>11</v>
      </c>
      <c r="AI51">
        <v>9</v>
      </c>
    </row>
    <row r="52" spans="1:35">
      <c r="A52" t="s">
        <v>82</v>
      </c>
      <c r="B52" t="s">
        <v>83</v>
      </c>
      <c r="F52">
        <v>23</v>
      </c>
      <c r="G52">
        <v>36</v>
      </c>
      <c r="H52">
        <v>1</v>
      </c>
      <c r="I52" s="1">
        <v>2.150462962962963E-2</v>
      </c>
      <c r="J52">
        <v>92</v>
      </c>
      <c r="K52">
        <v>38.33</v>
      </c>
      <c r="L52" t="s">
        <v>69</v>
      </c>
      <c r="M52" s="2">
        <v>46095.434016203704</v>
      </c>
      <c r="N52" s="2">
        <v>46095.455520833333</v>
      </c>
      <c r="O52" t="s">
        <v>26</v>
      </c>
      <c r="Q52" t="s">
        <v>26</v>
      </c>
      <c r="R52">
        <v>24</v>
      </c>
      <c r="S52">
        <v>14</v>
      </c>
      <c r="T52">
        <v>6</v>
      </c>
      <c r="U52">
        <v>36</v>
      </c>
      <c r="V52">
        <v>10</v>
      </c>
      <c r="W52">
        <v>9</v>
      </c>
      <c r="X52">
        <v>32</v>
      </c>
      <c r="Y52">
        <v>12</v>
      </c>
      <c r="Z52">
        <v>8</v>
      </c>
      <c r="AA52">
        <v>24</v>
      </c>
      <c r="AB52">
        <v>14</v>
      </c>
      <c r="AC52">
        <v>6</v>
      </c>
      <c r="AD52">
        <v>36</v>
      </c>
      <c r="AE52">
        <v>10</v>
      </c>
      <c r="AF52">
        <v>9</v>
      </c>
      <c r="AG52">
        <v>32</v>
      </c>
      <c r="AH52">
        <v>12</v>
      </c>
      <c r="AI52">
        <v>8</v>
      </c>
    </row>
    <row r="53" spans="1:35">
      <c r="A53" t="s">
        <v>114</v>
      </c>
      <c r="B53" t="s">
        <v>115</v>
      </c>
      <c r="F53">
        <v>23</v>
      </c>
      <c r="G53">
        <v>37</v>
      </c>
      <c r="H53">
        <v>0</v>
      </c>
      <c r="I53" s="1">
        <v>2.0243055555555556E-2</v>
      </c>
      <c r="J53">
        <v>92</v>
      </c>
      <c r="K53">
        <v>38.33</v>
      </c>
      <c r="L53" t="s">
        <v>60</v>
      </c>
      <c r="M53" s="2">
        <v>46095.448518518519</v>
      </c>
      <c r="N53" s="2">
        <v>46095.468761574077</v>
      </c>
      <c r="O53" t="s">
        <v>26</v>
      </c>
      <c r="Q53" t="s">
        <v>26</v>
      </c>
      <c r="R53">
        <v>44</v>
      </c>
      <c r="S53">
        <v>9</v>
      </c>
      <c r="T53">
        <v>11</v>
      </c>
      <c r="U53">
        <v>20</v>
      </c>
      <c r="V53">
        <v>15</v>
      </c>
      <c r="W53">
        <v>5</v>
      </c>
      <c r="X53">
        <v>28</v>
      </c>
      <c r="Y53">
        <v>13</v>
      </c>
      <c r="Z53">
        <v>7</v>
      </c>
      <c r="AA53">
        <v>44</v>
      </c>
      <c r="AB53">
        <v>9</v>
      </c>
      <c r="AC53">
        <v>11</v>
      </c>
      <c r="AD53">
        <v>20</v>
      </c>
      <c r="AE53">
        <v>15</v>
      </c>
      <c r="AF53">
        <v>5</v>
      </c>
      <c r="AG53">
        <v>28</v>
      </c>
      <c r="AH53">
        <v>13</v>
      </c>
      <c r="AI53">
        <v>7</v>
      </c>
    </row>
    <row r="54" spans="1:35">
      <c r="A54" t="s">
        <v>163</v>
      </c>
      <c r="B54" t="s">
        <v>164</v>
      </c>
      <c r="F54">
        <v>22</v>
      </c>
      <c r="G54">
        <v>38</v>
      </c>
      <c r="H54">
        <v>0</v>
      </c>
      <c r="I54" s="1">
        <v>2.6412037037037036E-2</v>
      </c>
      <c r="J54">
        <v>88</v>
      </c>
      <c r="K54">
        <v>36.67</v>
      </c>
      <c r="L54" t="s">
        <v>150</v>
      </c>
      <c r="M54" s="2">
        <v>46095.435416666667</v>
      </c>
      <c r="N54" s="2">
        <v>46095.461828703701</v>
      </c>
      <c r="O54" t="s">
        <v>26</v>
      </c>
      <c r="Q54" t="s">
        <v>26</v>
      </c>
      <c r="R54">
        <v>48</v>
      </c>
      <c r="S54">
        <v>8</v>
      </c>
      <c r="T54">
        <v>12</v>
      </c>
      <c r="U54">
        <v>16</v>
      </c>
      <c r="V54">
        <v>16</v>
      </c>
      <c r="W54">
        <v>4</v>
      </c>
      <c r="X54">
        <v>24</v>
      </c>
      <c r="Y54">
        <v>14</v>
      </c>
      <c r="Z54">
        <v>6</v>
      </c>
      <c r="AA54">
        <v>48</v>
      </c>
      <c r="AB54">
        <v>8</v>
      </c>
      <c r="AC54">
        <v>12</v>
      </c>
      <c r="AD54">
        <v>16</v>
      </c>
      <c r="AE54">
        <v>16</v>
      </c>
      <c r="AF54">
        <v>4</v>
      </c>
      <c r="AG54">
        <v>24</v>
      </c>
      <c r="AH54">
        <v>14</v>
      </c>
      <c r="AI54">
        <v>6</v>
      </c>
    </row>
    <row r="55" spans="1:35">
      <c r="A55" t="s">
        <v>108</v>
      </c>
      <c r="B55" t="s">
        <v>109</v>
      </c>
      <c r="F55">
        <v>0</v>
      </c>
      <c r="G55">
        <v>0</v>
      </c>
      <c r="H55">
        <v>60</v>
      </c>
      <c r="I55" s="1">
        <v>1.5046296296296297E-4</v>
      </c>
      <c r="J55">
        <v>0</v>
      </c>
      <c r="K55">
        <v>0</v>
      </c>
      <c r="L55" t="s">
        <v>55</v>
      </c>
      <c r="M55" s="2">
        <v>46095.450520833336</v>
      </c>
      <c r="N55" s="2">
        <v>46095.450682870367</v>
      </c>
      <c r="O55" t="s">
        <v>26</v>
      </c>
      <c r="Q55" t="s">
        <v>26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>
      <c r="A56" t="s">
        <v>157</v>
      </c>
      <c r="B56" t="s">
        <v>158</v>
      </c>
      <c r="F56" t="s">
        <v>235</v>
      </c>
      <c r="G56" t="s">
        <v>235</v>
      </c>
      <c r="H56" t="s">
        <v>235</v>
      </c>
      <c r="I56" t="s">
        <v>235</v>
      </c>
      <c r="J56" t="s">
        <v>235</v>
      </c>
      <c r="K56" t="s">
        <v>235</v>
      </c>
      <c r="L56" t="s">
        <v>150</v>
      </c>
      <c r="M56" t="s">
        <v>235</v>
      </c>
      <c r="N56" t="s">
        <v>235</v>
      </c>
      <c r="O56" t="s">
        <v>235</v>
      </c>
      <c r="P56" t="s">
        <v>235</v>
      </c>
      <c r="Q56" t="s">
        <v>235</v>
      </c>
      <c r="R56" t="s">
        <v>235</v>
      </c>
      <c r="S56" t="s">
        <v>235</v>
      </c>
      <c r="T56" t="s">
        <v>235</v>
      </c>
      <c r="U56" t="s">
        <v>235</v>
      </c>
      <c r="V56" t="s">
        <v>235</v>
      </c>
      <c r="W56" t="s">
        <v>235</v>
      </c>
      <c r="X56" t="s">
        <v>235</v>
      </c>
      <c r="Y56" t="s">
        <v>235</v>
      </c>
      <c r="Z56" t="s">
        <v>235</v>
      </c>
      <c r="AA56" t="s">
        <v>235</v>
      </c>
      <c r="AB56" t="s">
        <v>235</v>
      </c>
      <c r="AC56" t="s">
        <v>235</v>
      </c>
      <c r="AD56" t="s">
        <v>235</v>
      </c>
      <c r="AE56" t="s">
        <v>235</v>
      </c>
      <c r="AF56" t="s">
        <v>235</v>
      </c>
      <c r="AG56" t="s">
        <v>235</v>
      </c>
      <c r="AH56" t="s">
        <v>235</v>
      </c>
      <c r="AI56" t="s">
        <v>235</v>
      </c>
    </row>
    <row r="57" spans="1:35">
      <c r="A57" t="s">
        <v>183</v>
      </c>
      <c r="B57" t="s">
        <v>184</v>
      </c>
      <c r="F57" t="s">
        <v>235</v>
      </c>
      <c r="G57" t="s">
        <v>235</v>
      </c>
      <c r="H57" t="s">
        <v>235</v>
      </c>
      <c r="I57" t="s">
        <v>235</v>
      </c>
      <c r="J57" t="s">
        <v>235</v>
      </c>
      <c r="K57" t="s">
        <v>235</v>
      </c>
      <c r="L57" t="s">
        <v>150</v>
      </c>
      <c r="M57" t="s">
        <v>235</v>
      </c>
      <c r="N57" t="s">
        <v>235</v>
      </c>
      <c r="O57" t="s">
        <v>235</v>
      </c>
      <c r="P57" t="s">
        <v>235</v>
      </c>
      <c r="Q57" t="s">
        <v>235</v>
      </c>
      <c r="R57" t="s">
        <v>235</v>
      </c>
      <c r="S57" t="s">
        <v>235</v>
      </c>
      <c r="T57" t="s">
        <v>235</v>
      </c>
      <c r="U57" t="s">
        <v>235</v>
      </c>
      <c r="V57" t="s">
        <v>235</v>
      </c>
      <c r="W57" t="s">
        <v>235</v>
      </c>
      <c r="X57" t="s">
        <v>235</v>
      </c>
      <c r="Y57" t="s">
        <v>235</v>
      </c>
      <c r="Z57" t="s">
        <v>235</v>
      </c>
      <c r="AA57" t="s">
        <v>235</v>
      </c>
      <c r="AB57" t="s">
        <v>235</v>
      </c>
      <c r="AC57" t="s">
        <v>235</v>
      </c>
      <c r="AD57" t="s">
        <v>235</v>
      </c>
      <c r="AE57" t="s">
        <v>235</v>
      </c>
      <c r="AF57" t="s">
        <v>235</v>
      </c>
      <c r="AG57" t="s">
        <v>235</v>
      </c>
      <c r="AH57" t="s">
        <v>235</v>
      </c>
      <c r="AI57" t="s">
        <v>235</v>
      </c>
    </row>
    <row r="58" spans="1:35">
      <c r="A58" t="s">
        <v>161</v>
      </c>
      <c r="B58" t="s">
        <v>162</v>
      </c>
      <c r="F58" t="s">
        <v>235</v>
      </c>
      <c r="G58" t="s">
        <v>235</v>
      </c>
      <c r="H58" t="s">
        <v>235</v>
      </c>
      <c r="I58" t="s">
        <v>235</v>
      </c>
      <c r="J58" t="s">
        <v>235</v>
      </c>
      <c r="K58" t="s">
        <v>235</v>
      </c>
      <c r="L58" t="s">
        <v>150</v>
      </c>
      <c r="M58" t="s">
        <v>235</v>
      </c>
      <c r="N58" t="s">
        <v>235</v>
      </c>
      <c r="O58" t="s">
        <v>235</v>
      </c>
      <c r="P58" t="s">
        <v>235</v>
      </c>
      <c r="Q58" t="s">
        <v>235</v>
      </c>
      <c r="R58" t="s">
        <v>235</v>
      </c>
      <c r="S58" t="s">
        <v>235</v>
      </c>
      <c r="T58" t="s">
        <v>235</v>
      </c>
      <c r="U58" t="s">
        <v>235</v>
      </c>
      <c r="V58" t="s">
        <v>235</v>
      </c>
      <c r="W58" t="s">
        <v>235</v>
      </c>
      <c r="X58" t="s">
        <v>235</v>
      </c>
      <c r="Y58" t="s">
        <v>235</v>
      </c>
      <c r="Z58" t="s">
        <v>235</v>
      </c>
      <c r="AA58" t="s">
        <v>235</v>
      </c>
      <c r="AB58" t="s">
        <v>235</v>
      </c>
      <c r="AC58" t="s">
        <v>235</v>
      </c>
      <c r="AD58" t="s">
        <v>235</v>
      </c>
      <c r="AE58" t="s">
        <v>235</v>
      </c>
      <c r="AF58" t="s">
        <v>235</v>
      </c>
      <c r="AG58" t="s">
        <v>235</v>
      </c>
      <c r="AH58" t="s">
        <v>235</v>
      </c>
      <c r="AI58" t="s">
        <v>235</v>
      </c>
    </row>
    <row r="59" spans="1:35">
      <c r="A59" t="s">
        <v>169</v>
      </c>
      <c r="B59" t="s">
        <v>170</v>
      </c>
      <c r="F59" t="s">
        <v>235</v>
      </c>
      <c r="G59" t="s">
        <v>235</v>
      </c>
      <c r="H59" t="s">
        <v>235</v>
      </c>
      <c r="I59" t="s">
        <v>235</v>
      </c>
      <c r="J59" t="s">
        <v>235</v>
      </c>
      <c r="K59" t="s">
        <v>235</v>
      </c>
      <c r="L59" t="s">
        <v>150</v>
      </c>
      <c r="M59" t="s">
        <v>235</v>
      </c>
      <c r="N59" t="s">
        <v>235</v>
      </c>
      <c r="O59" t="s">
        <v>235</v>
      </c>
      <c r="P59" t="s">
        <v>235</v>
      </c>
      <c r="Q59" t="s">
        <v>235</v>
      </c>
      <c r="R59" t="s">
        <v>235</v>
      </c>
      <c r="S59" t="s">
        <v>235</v>
      </c>
      <c r="T59" t="s">
        <v>235</v>
      </c>
      <c r="U59" t="s">
        <v>235</v>
      </c>
      <c r="V59" t="s">
        <v>235</v>
      </c>
      <c r="W59" t="s">
        <v>235</v>
      </c>
      <c r="X59" t="s">
        <v>235</v>
      </c>
      <c r="Y59" t="s">
        <v>235</v>
      </c>
      <c r="Z59" t="s">
        <v>235</v>
      </c>
      <c r="AA59" t="s">
        <v>235</v>
      </c>
      <c r="AB59" t="s">
        <v>235</v>
      </c>
      <c r="AC59" t="s">
        <v>235</v>
      </c>
      <c r="AD59" t="s">
        <v>235</v>
      </c>
      <c r="AE59" t="s">
        <v>235</v>
      </c>
      <c r="AF59" t="s">
        <v>235</v>
      </c>
      <c r="AG59" t="s">
        <v>235</v>
      </c>
      <c r="AH59" t="s">
        <v>235</v>
      </c>
      <c r="AI59" t="s">
        <v>235</v>
      </c>
    </row>
    <row r="60" spans="1:35">
      <c r="A60" t="s">
        <v>179</v>
      </c>
      <c r="B60" t="s">
        <v>180</v>
      </c>
      <c r="F60" t="s">
        <v>235</v>
      </c>
      <c r="G60" t="s">
        <v>235</v>
      </c>
      <c r="H60" t="s">
        <v>235</v>
      </c>
      <c r="I60" t="s">
        <v>235</v>
      </c>
      <c r="J60" t="s">
        <v>235</v>
      </c>
      <c r="K60" t="s">
        <v>235</v>
      </c>
      <c r="L60" t="s">
        <v>55</v>
      </c>
      <c r="M60" t="s">
        <v>235</v>
      </c>
      <c r="N60" t="s">
        <v>235</v>
      </c>
      <c r="O60" t="s">
        <v>235</v>
      </c>
      <c r="P60" t="s">
        <v>235</v>
      </c>
      <c r="Q60" t="s">
        <v>235</v>
      </c>
      <c r="R60" t="s">
        <v>235</v>
      </c>
      <c r="S60" t="s">
        <v>235</v>
      </c>
      <c r="T60" t="s">
        <v>235</v>
      </c>
      <c r="U60" t="s">
        <v>235</v>
      </c>
      <c r="V60" t="s">
        <v>235</v>
      </c>
      <c r="W60" t="s">
        <v>235</v>
      </c>
      <c r="X60" t="s">
        <v>235</v>
      </c>
      <c r="Y60" t="s">
        <v>235</v>
      </c>
      <c r="Z60" t="s">
        <v>235</v>
      </c>
      <c r="AA60" t="s">
        <v>235</v>
      </c>
      <c r="AB60" t="s">
        <v>235</v>
      </c>
      <c r="AC60" t="s">
        <v>235</v>
      </c>
      <c r="AD60" t="s">
        <v>235</v>
      </c>
      <c r="AE60" t="s">
        <v>235</v>
      </c>
      <c r="AF60" t="s">
        <v>235</v>
      </c>
      <c r="AG60" t="s">
        <v>235</v>
      </c>
      <c r="AH60" t="s">
        <v>235</v>
      </c>
      <c r="AI60" t="s">
        <v>235</v>
      </c>
    </row>
    <row r="61" spans="1:35">
      <c r="A61" t="s">
        <v>187</v>
      </c>
      <c r="B61" t="s">
        <v>188</v>
      </c>
      <c r="F61" t="s">
        <v>235</v>
      </c>
      <c r="G61" t="s">
        <v>235</v>
      </c>
      <c r="H61" t="s">
        <v>235</v>
      </c>
      <c r="I61" t="s">
        <v>235</v>
      </c>
      <c r="J61" t="s">
        <v>235</v>
      </c>
      <c r="K61" t="s">
        <v>235</v>
      </c>
      <c r="L61" t="s">
        <v>55</v>
      </c>
      <c r="M61" t="s">
        <v>235</v>
      </c>
      <c r="N61" t="s">
        <v>235</v>
      </c>
      <c r="O61" t="s">
        <v>235</v>
      </c>
      <c r="P61" t="s">
        <v>235</v>
      </c>
      <c r="Q61" t="s">
        <v>235</v>
      </c>
      <c r="R61" t="s">
        <v>235</v>
      </c>
      <c r="S61" t="s">
        <v>235</v>
      </c>
      <c r="T61" t="s">
        <v>235</v>
      </c>
      <c r="U61" t="s">
        <v>235</v>
      </c>
      <c r="V61" t="s">
        <v>235</v>
      </c>
      <c r="W61" t="s">
        <v>235</v>
      </c>
      <c r="X61" t="s">
        <v>235</v>
      </c>
      <c r="Y61" t="s">
        <v>235</v>
      </c>
      <c r="Z61" t="s">
        <v>235</v>
      </c>
      <c r="AA61" t="s">
        <v>235</v>
      </c>
      <c r="AB61" t="s">
        <v>235</v>
      </c>
      <c r="AC61" t="s">
        <v>235</v>
      </c>
      <c r="AD61" t="s">
        <v>235</v>
      </c>
      <c r="AE61" t="s">
        <v>235</v>
      </c>
      <c r="AF61" t="s">
        <v>235</v>
      </c>
      <c r="AG61" t="s">
        <v>235</v>
      </c>
      <c r="AH61" t="s">
        <v>235</v>
      </c>
      <c r="AI61" t="s">
        <v>235</v>
      </c>
    </row>
    <row r="62" spans="1:35">
      <c r="A62" t="s">
        <v>189</v>
      </c>
      <c r="B62" t="s">
        <v>190</v>
      </c>
      <c r="F62" t="s">
        <v>235</v>
      </c>
      <c r="G62" t="s">
        <v>235</v>
      </c>
      <c r="H62" t="s">
        <v>235</v>
      </c>
      <c r="I62" t="s">
        <v>235</v>
      </c>
      <c r="J62" t="s">
        <v>235</v>
      </c>
      <c r="K62" t="s">
        <v>235</v>
      </c>
      <c r="L62" t="s">
        <v>55</v>
      </c>
      <c r="M62" t="s">
        <v>235</v>
      </c>
      <c r="N62" t="s">
        <v>235</v>
      </c>
      <c r="O62" t="s">
        <v>235</v>
      </c>
      <c r="P62" t="s">
        <v>235</v>
      </c>
      <c r="Q62" t="s">
        <v>235</v>
      </c>
      <c r="R62" t="s">
        <v>235</v>
      </c>
      <c r="S62" t="s">
        <v>235</v>
      </c>
      <c r="T62" t="s">
        <v>235</v>
      </c>
      <c r="U62" t="s">
        <v>235</v>
      </c>
      <c r="V62" t="s">
        <v>235</v>
      </c>
      <c r="W62" t="s">
        <v>235</v>
      </c>
      <c r="X62" t="s">
        <v>235</v>
      </c>
      <c r="Y62" t="s">
        <v>235</v>
      </c>
      <c r="Z62" t="s">
        <v>235</v>
      </c>
      <c r="AA62" t="s">
        <v>235</v>
      </c>
      <c r="AB62" t="s">
        <v>235</v>
      </c>
      <c r="AC62" t="s">
        <v>235</v>
      </c>
      <c r="AD62" t="s">
        <v>235</v>
      </c>
      <c r="AE62" t="s">
        <v>235</v>
      </c>
      <c r="AF62" t="s">
        <v>235</v>
      </c>
      <c r="AG62" t="s">
        <v>235</v>
      </c>
      <c r="AH62" t="s">
        <v>235</v>
      </c>
      <c r="AI62" t="s">
        <v>235</v>
      </c>
    </row>
    <row r="63" spans="1:35">
      <c r="A63" t="s">
        <v>191</v>
      </c>
      <c r="B63" t="s">
        <v>192</v>
      </c>
      <c r="F63" t="s">
        <v>235</v>
      </c>
      <c r="G63" t="s">
        <v>235</v>
      </c>
      <c r="H63" t="s">
        <v>235</v>
      </c>
      <c r="I63" t="s">
        <v>235</v>
      </c>
      <c r="J63" t="s">
        <v>235</v>
      </c>
      <c r="K63" t="s">
        <v>235</v>
      </c>
      <c r="L63" t="s">
        <v>55</v>
      </c>
      <c r="M63" t="s">
        <v>235</v>
      </c>
      <c r="N63" t="s">
        <v>235</v>
      </c>
      <c r="O63" t="s">
        <v>235</v>
      </c>
      <c r="P63" t="s">
        <v>235</v>
      </c>
      <c r="Q63" t="s">
        <v>235</v>
      </c>
      <c r="R63" t="s">
        <v>235</v>
      </c>
      <c r="S63" t="s">
        <v>235</v>
      </c>
      <c r="T63" t="s">
        <v>235</v>
      </c>
      <c r="U63" t="s">
        <v>235</v>
      </c>
      <c r="V63" t="s">
        <v>235</v>
      </c>
      <c r="W63" t="s">
        <v>235</v>
      </c>
      <c r="X63" t="s">
        <v>235</v>
      </c>
      <c r="Y63" t="s">
        <v>235</v>
      </c>
      <c r="Z63" t="s">
        <v>235</v>
      </c>
      <c r="AA63" t="s">
        <v>235</v>
      </c>
      <c r="AB63" t="s">
        <v>235</v>
      </c>
      <c r="AC63" t="s">
        <v>235</v>
      </c>
      <c r="AD63" t="s">
        <v>235</v>
      </c>
      <c r="AE63" t="s">
        <v>235</v>
      </c>
      <c r="AF63" t="s">
        <v>235</v>
      </c>
      <c r="AG63" t="s">
        <v>235</v>
      </c>
      <c r="AH63" t="s">
        <v>235</v>
      </c>
      <c r="AI63" t="s">
        <v>235</v>
      </c>
    </row>
    <row r="64" spans="1:35">
      <c r="A64" t="s">
        <v>104</v>
      </c>
      <c r="B64" t="s">
        <v>105</v>
      </c>
      <c r="F64" t="s">
        <v>235</v>
      </c>
      <c r="G64" t="s">
        <v>235</v>
      </c>
      <c r="H64" t="s">
        <v>235</v>
      </c>
      <c r="I64" t="s">
        <v>235</v>
      </c>
      <c r="J64" t="s">
        <v>235</v>
      </c>
      <c r="K64" t="s">
        <v>235</v>
      </c>
      <c r="L64" t="s">
        <v>55</v>
      </c>
      <c r="M64" t="s">
        <v>235</v>
      </c>
      <c r="N64" t="s">
        <v>235</v>
      </c>
      <c r="O64" t="s">
        <v>235</v>
      </c>
      <c r="P64" t="s">
        <v>235</v>
      </c>
      <c r="Q64" t="s">
        <v>235</v>
      </c>
      <c r="R64" t="s">
        <v>235</v>
      </c>
      <c r="S64" t="s">
        <v>235</v>
      </c>
      <c r="T64" t="s">
        <v>235</v>
      </c>
      <c r="U64" t="s">
        <v>235</v>
      </c>
      <c r="V64" t="s">
        <v>235</v>
      </c>
      <c r="W64" t="s">
        <v>235</v>
      </c>
      <c r="X64" t="s">
        <v>235</v>
      </c>
      <c r="Y64" t="s">
        <v>235</v>
      </c>
      <c r="Z64" t="s">
        <v>235</v>
      </c>
      <c r="AA64" t="s">
        <v>235</v>
      </c>
      <c r="AB64" t="s">
        <v>235</v>
      </c>
      <c r="AC64" t="s">
        <v>235</v>
      </c>
      <c r="AD64" t="s">
        <v>235</v>
      </c>
      <c r="AE64" t="s">
        <v>235</v>
      </c>
      <c r="AF64" t="s">
        <v>235</v>
      </c>
      <c r="AG64" t="s">
        <v>235</v>
      </c>
      <c r="AH64" t="s">
        <v>235</v>
      </c>
      <c r="AI64" t="s">
        <v>235</v>
      </c>
    </row>
    <row r="65" spans="1:35">
      <c r="A65" t="s">
        <v>175</v>
      </c>
      <c r="B65" t="s">
        <v>176</v>
      </c>
      <c r="F65" t="s">
        <v>235</v>
      </c>
      <c r="G65" t="s">
        <v>235</v>
      </c>
      <c r="H65" t="s">
        <v>235</v>
      </c>
      <c r="I65" t="s">
        <v>235</v>
      </c>
      <c r="J65" t="s">
        <v>235</v>
      </c>
      <c r="K65" t="s">
        <v>235</v>
      </c>
      <c r="L65" t="s">
        <v>55</v>
      </c>
      <c r="M65" t="s">
        <v>235</v>
      </c>
      <c r="N65" t="s">
        <v>235</v>
      </c>
      <c r="O65" t="s">
        <v>235</v>
      </c>
      <c r="P65" t="s">
        <v>235</v>
      </c>
      <c r="Q65" t="s">
        <v>235</v>
      </c>
      <c r="R65" t="s">
        <v>235</v>
      </c>
      <c r="S65" t="s">
        <v>235</v>
      </c>
      <c r="T65" t="s">
        <v>235</v>
      </c>
      <c r="U65" t="s">
        <v>235</v>
      </c>
      <c r="V65" t="s">
        <v>235</v>
      </c>
      <c r="W65" t="s">
        <v>235</v>
      </c>
      <c r="X65" t="s">
        <v>235</v>
      </c>
      <c r="Y65" t="s">
        <v>235</v>
      </c>
      <c r="Z65" t="s">
        <v>235</v>
      </c>
      <c r="AA65" t="s">
        <v>235</v>
      </c>
      <c r="AB65" t="s">
        <v>235</v>
      </c>
      <c r="AC65" t="s">
        <v>235</v>
      </c>
      <c r="AD65" t="s">
        <v>235</v>
      </c>
      <c r="AE65" t="s">
        <v>235</v>
      </c>
      <c r="AF65" t="s">
        <v>235</v>
      </c>
      <c r="AG65" t="s">
        <v>235</v>
      </c>
      <c r="AH65" t="s">
        <v>235</v>
      </c>
      <c r="AI65" t="s">
        <v>235</v>
      </c>
    </row>
    <row r="66" spans="1:35">
      <c r="A66" t="s">
        <v>195</v>
      </c>
      <c r="B66" t="s">
        <v>196</v>
      </c>
      <c r="F66" t="s">
        <v>235</v>
      </c>
      <c r="G66" t="s">
        <v>235</v>
      </c>
      <c r="H66" t="s">
        <v>235</v>
      </c>
      <c r="I66" t="s">
        <v>235</v>
      </c>
      <c r="J66" t="s">
        <v>235</v>
      </c>
      <c r="K66" t="s">
        <v>235</v>
      </c>
      <c r="L66" t="s">
        <v>55</v>
      </c>
      <c r="M66" t="s">
        <v>235</v>
      </c>
      <c r="N66" t="s">
        <v>235</v>
      </c>
      <c r="O66" t="s">
        <v>235</v>
      </c>
      <c r="P66" t="s">
        <v>235</v>
      </c>
      <c r="Q66" t="s">
        <v>235</v>
      </c>
      <c r="R66" t="s">
        <v>235</v>
      </c>
      <c r="S66" t="s">
        <v>235</v>
      </c>
      <c r="T66" t="s">
        <v>235</v>
      </c>
      <c r="U66" t="s">
        <v>235</v>
      </c>
      <c r="V66" t="s">
        <v>235</v>
      </c>
      <c r="W66" t="s">
        <v>235</v>
      </c>
      <c r="X66" t="s">
        <v>235</v>
      </c>
      <c r="Y66" t="s">
        <v>235</v>
      </c>
      <c r="Z66" t="s">
        <v>235</v>
      </c>
      <c r="AA66" t="s">
        <v>235</v>
      </c>
      <c r="AB66" t="s">
        <v>235</v>
      </c>
      <c r="AC66" t="s">
        <v>235</v>
      </c>
      <c r="AD66" t="s">
        <v>235</v>
      </c>
      <c r="AE66" t="s">
        <v>235</v>
      </c>
      <c r="AF66" t="s">
        <v>235</v>
      </c>
      <c r="AG66" t="s">
        <v>235</v>
      </c>
      <c r="AH66" t="s">
        <v>235</v>
      </c>
      <c r="AI66" t="s">
        <v>235</v>
      </c>
    </row>
    <row r="67" spans="1:35">
      <c r="A67" t="s">
        <v>78</v>
      </c>
      <c r="B67" t="s">
        <v>79</v>
      </c>
      <c r="F67" t="s">
        <v>235</v>
      </c>
      <c r="G67" t="s">
        <v>235</v>
      </c>
      <c r="H67" t="s">
        <v>235</v>
      </c>
      <c r="I67" t="s">
        <v>235</v>
      </c>
      <c r="J67" t="s">
        <v>235</v>
      </c>
      <c r="K67" t="s">
        <v>235</v>
      </c>
      <c r="L67" t="s">
        <v>55</v>
      </c>
      <c r="M67" t="s">
        <v>235</v>
      </c>
      <c r="N67" t="s">
        <v>235</v>
      </c>
      <c r="O67" t="s">
        <v>235</v>
      </c>
      <c r="P67" t="s">
        <v>235</v>
      </c>
      <c r="Q67" t="s">
        <v>235</v>
      </c>
      <c r="R67" t="s">
        <v>235</v>
      </c>
      <c r="S67" t="s">
        <v>235</v>
      </c>
      <c r="T67" t="s">
        <v>235</v>
      </c>
      <c r="U67" t="s">
        <v>235</v>
      </c>
      <c r="V67" t="s">
        <v>235</v>
      </c>
      <c r="W67" t="s">
        <v>235</v>
      </c>
      <c r="X67" t="s">
        <v>235</v>
      </c>
      <c r="Y67" t="s">
        <v>235</v>
      </c>
      <c r="Z67" t="s">
        <v>235</v>
      </c>
      <c r="AA67" t="s">
        <v>235</v>
      </c>
      <c r="AB67" t="s">
        <v>235</v>
      </c>
      <c r="AC67" t="s">
        <v>235</v>
      </c>
      <c r="AD67" t="s">
        <v>235</v>
      </c>
      <c r="AE67" t="s">
        <v>235</v>
      </c>
      <c r="AF67" t="s">
        <v>235</v>
      </c>
      <c r="AG67" t="s">
        <v>235</v>
      </c>
      <c r="AH67" t="s">
        <v>235</v>
      </c>
      <c r="AI67" t="s">
        <v>235</v>
      </c>
    </row>
    <row r="68" spans="1:35">
      <c r="A68" t="s">
        <v>173</v>
      </c>
      <c r="B68" t="s">
        <v>174</v>
      </c>
      <c r="F68" t="s">
        <v>235</v>
      </c>
      <c r="G68" t="s">
        <v>235</v>
      </c>
      <c r="H68" t="s">
        <v>235</v>
      </c>
      <c r="I68" t="s">
        <v>235</v>
      </c>
      <c r="J68" t="s">
        <v>235</v>
      </c>
      <c r="K68" t="s">
        <v>235</v>
      </c>
      <c r="L68" t="s">
        <v>55</v>
      </c>
      <c r="M68" t="s">
        <v>235</v>
      </c>
      <c r="N68" t="s">
        <v>235</v>
      </c>
      <c r="O68" t="s">
        <v>235</v>
      </c>
      <c r="P68" t="s">
        <v>235</v>
      </c>
      <c r="Q68" t="s">
        <v>235</v>
      </c>
      <c r="R68" t="s">
        <v>235</v>
      </c>
      <c r="S68" t="s">
        <v>235</v>
      </c>
      <c r="T68" t="s">
        <v>235</v>
      </c>
      <c r="U68" t="s">
        <v>235</v>
      </c>
      <c r="V68" t="s">
        <v>235</v>
      </c>
      <c r="W68" t="s">
        <v>235</v>
      </c>
      <c r="X68" t="s">
        <v>235</v>
      </c>
      <c r="Y68" t="s">
        <v>235</v>
      </c>
      <c r="Z68" t="s">
        <v>235</v>
      </c>
      <c r="AA68" t="s">
        <v>235</v>
      </c>
      <c r="AB68" t="s">
        <v>235</v>
      </c>
      <c r="AC68" t="s">
        <v>235</v>
      </c>
      <c r="AD68" t="s">
        <v>235</v>
      </c>
      <c r="AE68" t="s">
        <v>235</v>
      </c>
      <c r="AF68" t="s">
        <v>235</v>
      </c>
      <c r="AG68" t="s">
        <v>235</v>
      </c>
      <c r="AH68" t="s">
        <v>235</v>
      </c>
      <c r="AI68" t="s">
        <v>235</v>
      </c>
    </row>
    <row r="69" spans="1:35">
      <c r="A69" t="s">
        <v>201</v>
      </c>
      <c r="B69" t="s">
        <v>202</v>
      </c>
      <c r="F69" t="s">
        <v>235</v>
      </c>
      <c r="G69" t="s">
        <v>235</v>
      </c>
      <c r="H69" t="s">
        <v>235</v>
      </c>
      <c r="I69" t="s">
        <v>235</v>
      </c>
      <c r="J69" t="s">
        <v>235</v>
      </c>
      <c r="K69" t="s">
        <v>235</v>
      </c>
      <c r="L69" t="s">
        <v>69</v>
      </c>
      <c r="M69" t="s">
        <v>235</v>
      </c>
      <c r="N69" t="s">
        <v>235</v>
      </c>
      <c r="O69" t="s">
        <v>235</v>
      </c>
      <c r="P69" t="s">
        <v>235</v>
      </c>
      <c r="Q69" t="s">
        <v>235</v>
      </c>
      <c r="R69" t="s">
        <v>235</v>
      </c>
      <c r="S69" t="s">
        <v>235</v>
      </c>
      <c r="T69" t="s">
        <v>235</v>
      </c>
      <c r="U69" t="s">
        <v>235</v>
      </c>
      <c r="V69" t="s">
        <v>235</v>
      </c>
      <c r="W69" t="s">
        <v>235</v>
      </c>
      <c r="X69" t="s">
        <v>235</v>
      </c>
      <c r="Y69" t="s">
        <v>235</v>
      </c>
      <c r="Z69" t="s">
        <v>235</v>
      </c>
      <c r="AA69" t="s">
        <v>235</v>
      </c>
      <c r="AB69" t="s">
        <v>235</v>
      </c>
      <c r="AC69" t="s">
        <v>235</v>
      </c>
      <c r="AD69" t="s">
        <v>235</v>
      </c>
      <c r="AE69" t="s">
        <v>235</v>
      </c>
      <c r="AF69" t="s">
        <v>235</v>
      </c>
      <c r="AG69" t="s">
        <v>235</v>
      </c>
      <c r="AH69" t="s">
        <v>235</v>
      </c>
      <c r="AI69" t="s">
        <v>235</v>
      </c>
    </row>
    <row r="70" spans="1:35">
      <c r="A70" t="s">
        <v>171</v>
      </c>
      <c r="B70" t="s">
        <v>172</v>
      </c>
      <c r="F70" t="s">
        <v>235</v>
      </c>
      <c r="G70" t="s">
        <v>235</v>
      </c>
      <c r="H70" t="s">
        <v>235</v>
      </c>
      <c r="I70" t="s">
        <v>235</v>
      </c>
      <c r="J70" t="s">
        <v>235</v>
      </c>
      <c r="K70" t="s">
        <v>235</v>
      </c>
      <c r="L70" t="s">
        <v>69</v>
      </c>
      <c r="M70" t="s">
        <v>235</v>
      </c>
      <c r="N70" t="s">
        <v>235</v>
      </c>
      <c r="O70" t="s">
        <v>235</v>
      </c>
      <c r="P70" t="s">
        <v>235</v>
      </c>
      <c r="Q70" t="s">
        <v>235</v>
      </c>
      <c r="R70" t="s">
        <v>235</v>
      </c>
      <c r="S70" t="s">
        <v>235</v>
      </c>
      <c r="T70" t="s">
        <v>235</v>
      </c>
      <c r="U70" t="s">
        <v>235</v>
      </c>
      <c r="V70" t="s">
        <v>235</v>
      </c>
      <c r="W70" t="s">
        <v>235</v>
      </c>
      <c r="X70" t="s">
        <v>235</v>
      </c>
      <c r="Y70" t="s">
        <v>235</v>
      </c>
      <c r="Z70" t="s">
        <v>235</v>
      </c>
      <c r="AA70" t="s">
        <v>235</v>
      </c>
      <c r="AB70" t="s">
        <v>235</v>
      </c>
      <c r="AC70" t="s">
        <v>235</v>
      </c>
      <c r="AD70" t="s">
        <v>235</v>
      </c>
      <c r="AE70" t="s">
        <v>235</v>
      </c>
      <c r="AF70" t="s">
        <v>235</v>
      </c>
      <c r="AG70" t="s">
        <v>235</v>
      </c>
      <c r="AH70" t="s">
        <v>235</v>
      </c>
      <c r="AI70" t="s">
        <v>235</v>
      </c>
    </row>
    <row r="71" spans="1:35">
      <c r="A71" t="s">
        <v>203</v>
      </c>
      <c r="B71" t="s">
        <v>204</v>
      </c>
      <c r="F71" t="s">
        <v>235</v>
      </c>
      <c r="G71" t="s">
        <v>235</v>
      </c>
      <c r="H71" t="s">
        <v>235</v>
      </c>
      <c r="I71" t="s">
        <v>235</v>
      </c>
      <c r="J71" t="s">
        <v>235</v>
      </c>
      <c r="K71" t="s">
        <v>235</v>
      </c>
      <c r="L71" t="s">
        <v>69</v>
      </c>
      <c r="M71" t="s">
        <v>235</v>
      </c>
      <c r="N71" t="s">
        <v>235</v>
      </c>
      <c r="O71" t="s">
        <v>235</v>
      </c>
      <c r="P71" t="s">
        <v>235</v>
      </c>
      <c r="Q71" t="s">
        <v>235</v>
      </c>
      <c r="R71" t="s">
        <v>235</v>
      </c>
      <c r="S71" t="s">
        <v>235</v>
      </c>
      <c r="T71" t="s">
        <v>235</v>
      </c>
      <c r="U71" t="s">
        <v>235</v>
      </c>
      <c r="V71" t="s">
        <v>235</v>
      </c>
      <c r="W71" t="s">
        <v>235</v>
      </c>
      <c r="X71" t="s">
        <v>235</v>
      </c>
      <c r="Y71" t="s">
        <v>235</v>
      </c>
      <c r="Z71" t="s">
        <v>235</v>
      </c>
      <c r="AA71" t="s">
        <v>235</v>
      </c>
      <c r="AB71" t="s">
        <v>235</v>
      </c>
      <c r="AC71" t="s">
        <v>235</v>
      </c>
      <c r="AD71" t="s">
        <v>235</v>
      </c>
      <c r="AE71" t="s">
        <v>235</v>
      </c>
      <c r="AF71" t="s">
        <v>235</v>
      </c>
      <c r="AG71" t="s">
        <v>235</v>
      </c>
      <c r="AH71" t="s">
        <v>235</v>
      </c>
      <c r="AI71" t="s">
        <v>235</v>
      </c>
    </row>
    <row r="72" spans="1:35">
      <c r="A72" t="s">
        <v>205</v>
      </c>
      <c r="B72" t="s">
        <v>206</v>
      </c>
      <c r="F72" t="s">
        <v>235</v>
      </c>
      <c r="G72" t="s">
        <v>235</v>
      </c>
      <c r="H72" t="s">
        <v>235</v>
      </c>
      <c r="I72" t="s">
        <v>235</v>
      </c>
      <c r="J72" t="s">
        <v>235</v>
      </c>
      <c r="K72" t="s">
        <v>235</v>
      </c>
      <c r="L72" t="s">
        <v>69</v>
      </c>
      <c r="M72" t="s">
        <v>235</v>
      </c>
      <c r="N72" t="s">
        <v>235</v>
      </c>
      <c r="O72" t="s">
        <v>235</v>
      </c>
      <c r="P72" t="s">
        <v>235</v>
      </c>
      <c r="Q72" t="s">
        <v>235</v>
      </c>
      <c r="R72" t="s">
        <v>235</v>
      </c>
      <c r="S72" t="s">
        <v>235</v>
      </c>
      <c r="T72" t="s">
        <v>235</v>
      </c>
      <c r="U72" t="s">
        <v>235</v>
      </c>
      <c r="V72" t="s">
        <v>235</v>
      </c>
      <c r="W72" t="s">
        <v>235</v>
      </c>
      <c r="X72" t="s">
        <v>235</v>
      </c>
      <c r="Y72" t="s">
        <v>235</v>
      </c>
      <c r="Z72" t="s">
        <v>235</v>
      </c>
      <c r="AA72" t="s">
        <v>235</v>
      </c>
      <c r="AB72" t="s">
        <v>235</v>
      </c>
      <c r="AC72" t="s">
        <v>235</v>
      </c>
      <c r="AD72" t="s">
        <v>235</v>
      </c>
      <c r="AE72" t="s">
        <v>235</v>
      </c>
      <c r="AF72" t="s">
        <v>235</v>
      </c>
      <c r="AG72" t="s">
        <v>235</v>
      </c>
      <c r="AH72" t="s">
        <v>235</v>
      </c>
      <c r="AI72" t="s">
        <v>235</v>
      </c>
    </row>
    <row r="73" spans="1:35">
      <c r="A73" t="s">
        <v>207</v>
      </c>
      <c r="B73" t="s">
        <v>208</v>
      </c>
      <c r="F73" t="s">
        <v>235</v>
      </c>
      <c r="G73" t="s">
        <v>235</v>
      </c>
      <c r="H73" t="s">
        <v>235</v>
      </c>
      <c r="I73" t="s">
        <v>235</v>
      </c>
      <c r="J73" t="s">
        <v>235</v>
      </c>
      <c r="K73" t="s">
        <v>235</v>
      </c>
      <c r="L73" t="s">
        <v>69</v>
      </c>
      <c r="M73" t="s">
        <v>235</v>
      </c>
      <c r="N73" t="s">
        <v>235</v>
      </c>
      <c r="O73" t="s">
        <v>235</v>
      </c>
      <c r="P73" t="s">
        <v>235</v>
      </c>
      <c r="Q73" t="s">
        <v>235</v>
      </c>
      <c r="R73" t="s">
        <v>235</v>
      </c>
      <c r="S73" t="s">
        <v>235</v>
      </c>
      <c r="T73" t="s">
        <v>235</v>
      </c>
      <c r="U73" t="s">
        <v>235</v>
      </c>
      <c r="V73" t="s">
        <v>235</v>
      </c>
      <c r="W73" t="s">
        <v>235</v>
      </c>
      <c r="X73" t="s">
        <v>235</v>
      </c>
      <c r="Y73" t="s">
        <v>235</v>
      </c>
      <c r="Z73" t="s">
        <v>235</v>
      </c>
      <c r="AA73" t="s">
        <v>235</v>
      </c>
      <c r="AB73" t="s">
        <v>235</v>
      </c>
      <c r="AC73" t="s">
        <v>235</v>
      </c>
      <c r="AD73" t="s">
        <v>235</v>
      </c>
      <c r="AE73" t="s">
        <v>235</v>
      </c>
      <c r="AF73" t="s">
        <v>235</v>
      </c>
      <c r="AG73" t="s">
        <v>235</v>
      </c>
      <c r="AH73" t="s">
        <v>235</v>
      </c>
      <c r="AI73" t="s">
        <v>235</v>
      </c>
    </row>
    <row r="74" spans="1:35">
      <c r="A74" t="s">
        <v>124</v>
      </c>
      <c r="B74" t="s">
        <v>125</v>
      </c>
      <c r="F74" t="s">
        <v>235</v>
      </c>
      <c r="G74" t="s">
        <v>235</v>
      </c>
      <c r="H74" t="s">
        <v>235</v>
      </c>
      <c r="I74" t="s">
        <v>235</v>
      </c>
      <c r="J74" t="s">
        <v>235</v>
      </c>
      <c r="K74" t="s">
        <v>235</v>
      </c>
      <c r="L74" t="s">
        <v>69</v>
      </c>
      <c r="M74" t="s">
        <v>235</v>
      </c>
      <c r="N74" t="s">
        <v>235</v>
      </c>
      <c r="O74" t="s">
        <v>235</v>
      </c>
      <c r="P74" t="s">
        <v>235</v>
      </c>
      <c r="Q74" t="s">
        <v>235</v>
      </c>
      <c r="R74" t="s">
        <v>235</v>
      </c>
      <c r="S74" t="s">
        <v>235</v>
      </c>
      <c r="T74" t="s">
        <v>235</v>
      </c>
      <c r="U74" t="s">
        <v>235</v>
      </c>
      <c r="V74" t="s">
        <v>235</v>
      </c>
      <c r="W74" t="s">
        <v>235</v>
      </c>
      <c r="X74" t="s">
        <v>235</v>
      </c>
      <c r="Y74" t="s">
        <v>235</v>
      </c>
      <c r="Z74" t="s">
        <v>235</v>
      </c>
      <c r="AA74" t="s">
        <v>235</v>
      </c>
      <c r="AB74" t="s">
        <v>235</v>
      </c>
      <c r="AC74" t="s">
        <v>235</v>
      </c>
      <c r="AD74" t="s">
        <v>235</v>
      </c>
      <c r="AE74" t="s">
        <v>235</v>
      </c>
      <c r="AF74" t="s">
        <v>235</v>
      </c>
      <c r="AG74" t="s">
        <v>235</v>
      </c>
      <c r="AH74" t="s">
        <v>235</v>
      </c>
      <c r="AI74" t="s">
        <v>235</v>
      </c>
    </row>
    <row r="75" spans="1:35">
      <c r="A75" t="s">
        <v>211</v>
      </c>
      <c r="B75" t="s">
        <v>212</v>
      </c>
      <c r="F75" t="s">
        <v>235</v>
      </c>
      <c r="G75" t="s">
        <v>235</v>
      </c>
      <c r="H75" t="s">
        <v>235</v>
      </c>
      <c r="I75" t="s">
        <v>235</v>
      </c>
      <c r="J75" t="s">
        <v>235</v>
      </c>
      <c r="K75" t="s">
        <v>235</v>
      </c>
      <c r="L75" t="s">
        <v>69</v>
      </c>
      <c r="M75" t="s">
        <v>235</v>
      </c>
      <c r="N75" t="s">
        <v>235</v>
      </c>
      <c r="O75" t="s">
        <v>235</v>
      </c>
      <c r="P75" t="s">
        <v>235</v>
      </c>
      <c r="Q75" t="s">
        <v>235</v>
      </c>
      <c r="R75" t="s">
        <v>235</v>
      </c>
      <c r="S75" t="s">
        <v>235</v>
      </c>
      <c r="T75" t="s">
        <v>235</v>
      </c>
      <c r="U75" t="s">
        <v>235</v>
      </c>
      <c r="V75" t="s">
        <v>235</v>
      </c>
      <c r="W75" t="s">
        <v>235</v>
      </c>
      <c r="X75" t="s">
        <v>235</v>
      </c>
      <c r="Y75" t="s">
        <v>235</v>
      </c>
      <c r="Z75" t="s">
        <v>235</v>
      </c>
      <c r="AA75" t="s">
        <v>235</v>
      </c>
      <c r="AB75" t="s">
        <v>235</v>
      </c>
      <c r="AC75" t="s">
        <v>235</v>
      </c>
      <c r="AD75" t="s">
        <v>235</v>
      </c>
      <c r="AE75" t="s">
        <v>235</v>
      </c>
      <c r="AF75" t="s">
        <v>235</v>
      </c>
      <c r="AG75" t="s">
        <v>235</v>
      </c>
      <c r="AH75" t="s">
        <v>235</v>
      </c>
      <c r="AI75" t="s">
        <v>235</v>
      </c>
    </row>
    <row r="76" spans="1:35">
      <c r="A76" t="s">
        <v>217</v>
      </c>
      <c r="B76" t="s">
        <v>218</v>
      </c>
      <c r="F76" t="s">
        <v>235</v>
      </c>
      <c r="G76" t="s">
        <v>235</v>
      </c>
      <c r="H76" t="s">
        <v>235</v>
      </c>
      <c r="I76" t="s">
        <v>235</v>
      </c>
      <c r="J76" t="s">
        <v>235</v>
      </c>
      <c r="K76" t="s">
        <v>235</v>
      </c>
      <c r="L76" t="s">
        <v>69</v>
      </c>
      <c r="M76" t="s">
        <v>235</v>
      </c>
      <c r="N76" t="s">
        <v>235</v>
      </c>
      <c r="O76" t="s">
        <v>235</v>
      </c>
      <c r="P76" t="s">
        <v>235</v>
      </c>
      <c r="Q76" t="s">
        <v>235</v>
      </c>
      <c r="R76" t="s">
        <v>235</v>
      </c>
      <c r="S76" t="s">
        <v>235</v>
      </c>
      <c r="T76" t="s">
        <v>235</v>
      </c>
      <c r="U76" t="s">
        <v>235</v>
      </c>
      <c r="V76" t="s">
        <v>235</v>
      </c>
      <c r="W76" t="s">
        <v>235</v>
      </c>
      <c r="X76" t="s">
        <v>235</v>
      </c>
      <c r="Y76" t="s">
        <v>235</v>
      </c>
      <c r="Z76" t="s">
        <v>235</v>
      </c>
      <c r="AA76" t="s">
        <v>235</v>
      </c>
      <c r="AB76" t="s">
        <v>235</v>
      </c>
      <c r="AC76" t="s">
        <v>235</v>
      </c>
      <c r="AD76" t="s">
        <v>235</v>
      </c>
      <c r="AE76" t="s">
        <v>235</v>
      </c>
      <c r="AF76" t="s">
        <v>235</v>
      </c>
      <c r="AG76" t="s">
        <v>235</v>
      </c>
      <c r="AH76" t="s">
        <v>235</v>
      </c>
      <c r="AI76" t="s">
        <v>235</v>
      </c>
    </row>
    <row r="77" spans="1:35">
      <c r="A77" t="s">
        <v>221</v>
      </c>
      <c r="B77" t="s">
        <v>222</v>
      </c>
      <c r="F77" t="s">
        <v>235</v>
      </c>
      <c r="G77" t="s">
        <v>235</v>
      </c>
      <c r="H77" t="s">
        <v>235</v>
      </c>
      <c r="I77" t="s">
        <v>235</v>
      </c>
      <c r="J77" t="s">
        <v>235</v>
      </c>
      <c r="K77" t="s">
        <v>235</v>
      </c>
      <c r="L77" t="s">
        <v>69</v>
      </c>
      <c r="M77" t="s">
        <v>235</v>
      </c>
      <c r="N77" t="s">
        <v>235</v>
      </c>
      <c r="O77" t="s">
        <v>235</v>
      </c>
      <c r="P77" t="s">
        <v>235</v>
      </c>
      <c r="Q77" t="s">
        <v>235</v>
      </c>
      <c r="R77" t="s">
        <v>235</v>
      </c>
      <c r="S77" t="s">
        <v>235</v>
      </c>
      <c r="T77" t="s">
        <v>235</v>
      </c>
      <c r="U77" t="s">
        <v>235</v>
      </c>
      <c r="V77" t="s">
        <v>235</v>
      </c>
      <c r="W77" t="s">
        <v>235</v>
      </c>
      <c r="X77" t="s">
        <v>235</v>
      </c>
      <c r="Y77" t="s">
        <v>235</v>
      </c>
      <c r="Z77" t="s">
        <v>235</v>
      </c>
      <c r="AA77" t="s">
        <v>235</v>
      </c>
      <c r="AB77" t="s">
        <v>235</v>
      </c>
      <c r="AC77" t="s">
        <v>235</v>
      </c>
      <c r="AD77" t="s">
        <v>235</v>
      </c>
      <c r="AE77" t="s">
        <v>235</v>
      </c>
      <c r="AF77" t="s">
        <v>235</v>
      </c>
      <c r="AG77" t="s">
        <v>235</v>
      </c>
      <c r="AH77" t="s">
        <v>235</v>
      </c>
      <c r="AI77" t="s">
        <v>235</v>
      </c>
    </row>
    <row r="78" spans="1:35">
      <c r="A78" t="s">
        <v>136</v>
      </c>
      <c r="B78" t="s">
        <v>137</v>
      </c>
      <c r="F78" t="s">
        <v>235</v>
      </c>
      <c r="G78" t="s">
        <v>235</v>
      </c>
      <c r="H78" t="s">
        <v>235</v>
      </c>
      <c r="I78" t="s">
        <v>235</v>
      </c>
      <c r="J78" t="s">
        <v>235</v>
      </c>
      <c r="K78" t="s">
        <v>235</v>
      </c>
      <c r="L78" t="s">
        <v>69</v>
      </c>
      <c r="M78" t="s">
        <v>235</v>
      </c>
      <c r="N78" t="s">
        <v>235</v>
      </c>
      <c r="O78" t="s">
        <v>235</v>
      </c>
      <c r="P78" t="s">
        <v>235</v>
      </c>
      <c r="Q78" t="s">
        <v>235</v>
      </c>
      <c r="R78" t="s">
        <v>235</v>
      </c>
      <c r="S78" t="s">
        <v>235</v>
      </c>
      <c r="T78" t="s">
        <v>235</v>
      </c>
      <c r="U78" t="s">
        <v>235</v>
      </c>
      <c r="V78" t="s">
        <v>235</v>
      </c>
      <c r="W78" t="s">
        <v>235</v>
      </c>
      <c r="X78" t="s">
        <v>235</v>
      </c>
      <c r="Y78" t="s">
        <v>235</v>
      </c>
      <c r="Z78" t="s">
        <v>235</v>
      </c>
      <c r="AA78" t="s">
        <v>235</v>
      </c>
      <c r="AB78" t="s">
        <v>235</v>
      </c>
      <c r="AC78" t="s">
        <v>235</v>
      </c>
      <c r="AD78" t="s">
        <v>235</v>
      </c>
      <c r="AE78" t="s">
        <v>235</v>
      </c>
      <c r="AF78" t="s">
        <v>235</v>
      </c>
      <c r="AG78" t="s">
        <v>235</v>
      </c>
      <c r="AH78" t="s">
        <v>235</v>
      </c>
      <c r="AI78" t="s">
        <v>235</v>
      </c>
    </row>
    <row r="79" spans="1:35">
      <c r="A79" t="s">
        <v>76</v>
      </c>
      <c r="B79" t="s">
        <v>77</v>
      </c>
      <c r="F79" t="s">
        <v>235</v>
      </c>
      <c r="G79" t="s">
        <v>235</v>
      </c>
      <c r="H79" t="s">
        <v>235</v>
      </c>
      <c r="I79" t="s">
        <v>235</v>
      </c>
      <c r="J79" t="s">
        <v>235</v>
      </c>
      <c r="K79" t="s">
        <v>235</v>
      </c>
      <c r="L79" t="s">
        <v>69</v>
      </c>
      <c r="M79" t="s">
        <v>235</v>
      </c>
      <c r="N79" t="s">
        <v>235</v>
      </c>
      <c r="O79" t="s">
        <v>235</v>
      </c>
      <c r="P79" t="s">
        <v>235</v>
      </c>
      <c r="Q79" t="s">
        <v>235</v>
      </c>
      <c r="R79" t="s">
        <v>235</v>
      </c>
      <c r="S79" t="s">
        <v>235</v>
      </c>
      <c r="T79" t="s">
        <v>235</v>
      </c>
      <c r="U79" t="s">
        <v>235</v>
      </c>
      <c r="V79" t="s">
        <v>235</v>
      </c>
      <c r="W79" t="s">
        <v>235</v>
      </c>
      <c r="X79" t="s">
        <v>235</v>
      </c>
      <c r="Y79" t="s">
        <v>235</v>
      </c>
      <c r="Z79" t="s">
        <v>235</v>
      </c>
      <c r="AA79" t="s">
        <v>235</v>
      </c>
      <c r="AB79" t="s">
        <v>235</v>
      </c>
      <c r="AC79" t="s">
        <v>235</v>
      </c>
      <c r="AD79" t="s">
        <v>235</v>
      </c>
      <c r="AE79" t="s">
        <v>235</v>
      </c>
      <c r="AF79" t="s">
        <v>235</v>
      </c>
      <c r="AG79" t="s">
        <v>235</v>
      </c>
      <c r="AH79" t="s">
        <v>235</v>
      </c>
      <c r="AI79" t="s">
        <v>235</v>
      </c>
    </row>
    <row r="80" spans="1:35">
      <c r="A80" t="s">
        <v>74</v>
      </c>
      <c r="B80" t="s">
        <v>75</v>
      </c>
      <c r="F80" t="s">
        <v>235</v>
      </c>
      <c r="G80" t="s">
        <v>235</v>
      </c>
      <c r="H80" t="s">
        <v>235</v>
      </c>
      <c r="I80" t="s">
        <v>235</v>
      </c>
      <c r="J80" t="s">
        <v>235</v>
      </c>
      <c r="K80" t="s">
        <v>235</v>
      </c>
      <c r="L80" t="s">
        <v>69</v>
      </c>
      <c r="M80" t="s">
        <v>235</v>
      </c>
      <c r="N80" t="s">
        <v>235</v>
      </c>
      <c r="O80" t="s">
        <v>235</v>
      </c>
      <c r="P80" t="s">
        <v>235</v>
      </c>
      <c r="Q80" t="s">
        <v>235</v>
      </c>
      <c r="R80" t="s">
        <v>235</v>
      </c>
      <c r="S80" t="s">
        <v>235</v>
      </c>
      <c r="T80" t="s">
        <v>235</v>
      </c>
      <c r="U80" t="s">
        <v>235</v>
      </c>
      <c r="V80" t="s">
        <v>235</v>
      </c>
      <c r="W80" t="s">
        <v>235</v>
      </c>
      <c r="X80" t="s">
        <v>235</v>
      </c>
      <c r="Y80" t="s">
        <v>235</v>
      </c>
      <c r="Z80" t="s">
        <v>235</v>
      </c>
      <c r="AA80" t="s">
        <v>235</v>
      </c>
      <c r="AB80" t="s">
        <v>235</v>
      </c>
      <c r="AC80" t="s">
        <v>235</v>
      </c>
      <c r="AD80" t="s">
        <v>235</v>
      </c>
      <c r="AE80" t="s">
        <v>235</v>
      </c>
      <c r="AF80" t="s">
        <v>235</v>
      </c>
      <c r="AG80" t="s">
        <v>235</v>
      </c>
      <c r="AH80" t="s">
        <v>235</v>
      </c>
      <c r="AI80" t="s">
        <v>235</v>
      </c>
    </row>
    <row r="81" spans="1:35">
      <c r="A81" t="s">
        <v>88</v>
      </c>
      <c r="B81" t="s">
        <v>89</v>
      </c>
      <c r="F81" t="s">
        <v>235</v>
      </c>
      <c r="G81" t="s">
        <v>235</v>
      </c>
      <c r="H81" t="s">
        <v>235</v>
      </c>
      <c r="I81" t="s">
        <v>235</v>
      </c>
      <c r="J81" t="s">
        <v>235</v>
      </c>
      <c r="K81" t="s">
        <v>235</v>
      </c>
      <c r="L81" t="s">
        <v>60</v>
      </c>
      <c r="M81" t="s">
        <v>235</v>
      </c>
      <c r="N81" t="s">
        <v>235</v>
      </c>
      <c r="O81" t="s">
        <v>235</v>
      </c>
      <c r="P81" t="s">
        <v>235</v>
      </c>
      <c r="Q81" t="s">
        <v>235</v>
      </c>
      <c r="R81" t="s">
        <v>235</v>
      </c>
      <c r="S81" t="s">
        <v>235</v>
      </c>
      <c r="T81" t="s">
        <v>235</v>
      </c>
      <c r="U81" t="s">
        <v>235</v>
      </c>
      <c r="V81" t="s">
        <v>235</v>
      </c>
      <c r="W81" t="s">
        <v>235</v>
      </c>
      <c r="X81" t="s">
        <v>235</v>
      </c>
      <c r="Y81" t="s">
        <v>235</v>
      </c>
      <c r="Z81" t="s">
        <v>235</v>
      </c>
      <c r="AA81" t="s">
        <v>235</v>
      </c>
      <c r="AB81" t="s">
        <v>235</v>
      </c>
      <c r="AC81" t="s">
        <v>235</v>
      </c>
      <c r="AD81" t="s">
        <v>235</v>
      </c>
      <c r="AE81" t="s">
        <v>235</v>
      </c>
      <c r="AF81" t="s">
        <v>235</v>
      </c>
      <c r="AG81" t="s">
        <v>235</v>
      </c>
      <c r="AH81" t="s">
        <v>235</v>
      </c>
      <c r="AI81" t="s">
        <v>235</v>
      </c>
    </row>
    <row r="82" spans="1:35">
      <c r="A82" t="s">
        <v>102</v>
      </c>
      <c r="B82" t="s">
        <v>103</v>
      </c>
      <c r="F82" t="s">
        <v>235</v>
      </c>
      <c r="G82" t="s">
        <v>235</v>
      </c>
      <c r="H82" t="s">
        <v>235</v>
      </c>
      <c r="I82" t="s">
        <v>235</v>
      </c>
      <c r="J82" t="s">
        <v>235</v>
      </c>
      <c r="K82" t="s">
        <v>235</v>
      </c>
      <c r="L82" t="s">
        <v>60</v>
      </c>
      <c r="M82" t="s">
        <v>235</v>
      </c>
      <c r="N82" t="s">
        <v>235</v>
      </c>
      <c r="O82" t="s">
        <v>235</v>
      </c>
      <c r="P82" t="s">
        <v>235</v>
      </c>
      <c r="Q82" t="s">
        <v>235</v>
      </c>
      <c r="R82" t="s">
        <v>235</v>
      </c>
      <c r="S82" t="s">
        <v>235</v>
      </c>
      <c r="T82" t="s">
        <v>235</v>
      </c>
      <c r="U82" t="s">
        <v>235</v>
      </c>
      <c r="V82" t="s">
        <v>235</v>
      </c>
      <c r="W82" t="s">
        <v>235</v>
      </c>
      <c r="X82" t="s">
        <v>235</v>
      </c>
      <c r="Y82" t="s">
        <v>235</v>
      </c>
      <c r="Z82" t="s">
        <v>235</v>
      </c>
      <c r="AA82" t="s">
        <v>235</v>
      </c>
      <c r="AB82" t="s">
        <v>235</v>
      </c>
      <c r="AC82" t="s">
        <v>235</v>
      </c>
      <c r="AD82" t="s">
        <v>235</v>
      </c>
      <c r="AE82" t="s">
        <v>235</v>
      </c>
      <c r="AF82" t="s">
        <v>235</v>
      </c>
      <c r="AG82" t="s">
        <v>235</v>
      </c>
      <c r="AH82" t="s">
        <v>235</v>
      </c>
      <c r="AI82" t="s">
        <v>235</v>
      </c>
    </row>
    <row r="83" spans="1:35">
      <c r="A83" t="s">
        <v>116</v>
      </c>
      <c r="B83" t="s">
        <v>117</v>
      </c>
      <c r="F83" t="s">
        <v>235</v>
      </c>
      <c r="G83" t="s">
        <v>235</v>
      </c>
      <c r="H83" t="s">
        <v>235</v>
      </c>
      <c r="I83" t="s">
        <v>235</v>
      </c>
      <c r="J83" t="s">
        <v>235</v>
      </c>
      <c r="K83" t="s">
        <v>235</v>
      </c>
      <c r="L83" t="s">
        <v>60</v>
      </c>
      <c r="M83" t="s">
        <v>235</v>
      </c>
      <c r="N83" t="s">
        <v>235</v>
      </c>
      <c r="O83" t="s">
        <v>235</v>
      </c>
      <c r="P83" t="s">
        <v>235</v>
      </c>
      <c r="Q83" t="s">
        <v>235</v>
      </c>
      <c r="R83" t="s">
        <v>235</v>
      </c>
      <c r="S83" t="s">
        <v>235</v>
      </c>
      <c r="T83" t="s">
        <v>235</v>
      </c>
      <c r="U83" t="s">
        <v>235</v>
      </c>
      <c r="V83" t="s">
        <v>235</v>
      </c>
      <c r="W83" t="s">
        <v>235</v>
      </c>
      <c r="X83" t="s">
        <v>235</v>
      </c>
      <c r="Y83" t="s">
        <v>235</v>
      </c>
      <c r="Z83" t="s">
        <v>235</v>
      </c>
      <c r="AA83" t="s">
        <v>235</v>
      </c>
      <c r="AB83" t="s">
        <v>235</v>
      </c>
      <c r="AC83" t="s">
        <v>235</v>
      </c>
      <c r="AD83" t="s">
        <v>235</v>
      </c>
      <c r="AE83" t="s">
        <v>235</v>
      </c>
      <c r="AF83" t="s">
        <v>235</v>
      </c>
      <c r="AG83" t="s">
        <v>235</v>
      </c>
      <c r="AH83" t="s">
        <v>235</v>
      </c>
      <c r="AI83" t="s">
        <v>235</v>
      </c>
    </row>
    <row r="84" spans="1:35">
      <c r="A84" t="s">
        <v>181</v>
      </c>
      <c r="B84" t="s">
        <v>182</v>
      </c>
      <c r="F84" t="s">
        <v>235</v>
      </c>
      <c r="G84" t="s">
        <v>235</v>
      </c>
      <c r="H84" t="s">
        <v>235</v>
      </c>
      <c r="I84" t="s">
        <v>235</v>
      </c>
      <c r="J84" t="s">
        <v>235</v>
      </c>
      <c r="K84" t="s">
        <v>235</v>
      </c>
      <c r="L84" t="s">
        <v>60</v>
      </c>
      <c r="M84" t="s">
        <v>235</v>
      </c>
      <c r="N84" t="s">
        <v>235</v>
      </c>
      <c r="O84" t="s">
        <v>235</v>
      </c>
      <c r="P84" t="s">
        <v>235</v>
      </c>
      <c r="Q84" t="s">
        <v>235</v>
      </c>
      <c r="R84" t="s">
        <v>235</v>
      </c>
      <c r="S84" t="s">
        <v>235</v>
      </c>
      <c r="T84" t="s">
        <v>235</v>
      </c>
      <c r="U84" t="s">
        <v>235</v>
      </c>
      <c r="V84" t="s">
        <v>235</v>
      </c>
      <c r="W84" t="s">
        <v>235</v>
      </c>
      <c r="X84" t="s">
        <v>235</v>
      </c>
      <c r="Y84" t="s">
        <v>235</v>
      </c>
      <c r="Z84" t="s">
        <v>235</v>
      </c>
      <c r="AA84" t="s">
        <v>235</v>
      </c>
      <c r="AB84" t="s">
        <v>235</v>
      </c>
      <c r="AC84" t="s">
        <v>235</v>
      </c>
      <c r="AD84" t="s">
        <v>235</v>
      </c>
      <c r="AE84" t="s">
        <v>235</v>
      </c>
      <c r="AF84" t="s">
        <v>235</v>
      </c>
      <c r="AG84" t="s">
        <v>235</v>
      </c>
      <c r="AH84" t="s">
        <v>235</v>
      </c>
      <c r="AI84" t="s">
        <v>235</v>
      </c>
    </row>
    <row r="85" spans="1:35">
      <c r="A85" t="s">
        <v>227</v>
      </c>
      <c r="B85" t="s">
        <v>228</v>
      </c>
      <c r="F85" t="s">
        <v>235</v>
      </c>
      <c r="G85" t="s">
        <v>235</v>
      </c>
      <c r="H85" t="s">
        <v>235</v>
      </c>
      <c r="I85" t="s">
        <v>235</v>
      </c>
      <c r="J85" t="s">
        <v>235</v>
      </c>
      <c r="K85" t="s">
        <v>235</v>
      </c>
      <c r="L85" t="s">
        <v>60</v>
      </c>
      <c r="M85" t="s">
        <v>235</v>
      </c>
      <c r="N85" t="s">
        <v>235</v>
      </c>
      <c r="O85" t="s">
        <v>235</v>
      </c>
      <c r="P85" t="s">
        <v>235</v>
      </c>
      <c r="Q85" t="s">
        <v>235</v>
      </c>
      <c r="R85" t="s">
        <v>235</v>
      </c>
      <c r="S85" t="s">
        <v>235</v>
      </c>
      <c r="T85" t="s">
        <v>235</v>
      </c>
      <c r="U85" t="s">
        <v>235</v>
      </c>
      <c r="V85" t="s">
        <v>235</v>
      </c>
      <c r="W85" t="s">
        <v>235</v>
      </c>
      <c r="X85" t="s">
        <v>235</v>
      </c>
      <c r="Y85" t="s">
        <v>235</v>
      </c>
      <c r="Z85" t="s">
        <v>235</v>
      </c>
      <c r="AA85" t="s">
        <v>235</v>
      </c>
      <c r="AB85" t="s">
        <v>235</v>
      </c>
      <c r="AC85" t="s">
        <v>235</v>
      </c>
      <c r="AD85" t="s">
        <v>235</v>
      </c>
      <c r="AE85" t="s">
        <v>235</v>
      </c>
      <c r="AF85" t="s">
        <v>235</v>
      </c>
      <c r="AG85" t="s">
        <v>235</v>
      </c>
      <c r="AH85" t="s">
        <v>235</v>
      </c>
      <c r="AI85" t="s">
        <v>235</v>
      </c>
    </row>
    <row r="86" spans="1:35">
      <c r="A86" t="s">
        <v>229</v>
      </c>
      <c r="B86" t="s">
        <v>230</v>
      </c>
      <c r="F86" t="s">
        <v>235</v>
      </c>
      <c r="G86" t="s">
        <v>235</v>
      </c>
      <c r="H86" t="s">
        <v>235</v>
      </c>
      <c r="I86" t="s">
        <v>235</v>
      </c>
      <c r="J86" t="s">
        <v>235</v>
      </c>
      <c r="K86" t="s">
        <v>235</v>
      </c>
      <c r="L86" t="s">
        <v>60</v>
      </c>
      <c r="M86" t="s">
        <v>235</v>
      </c>
      <c r="N86" t="s">
        <v>235</v>
      </c>
      <c r="O86" t="s">
        <v>235</v>
      </c>
      <c r="P86" t="s">
        <v>235</v>
      </c>
      <c r="Q86" t="s">
        <v>235</v>
      </c>
      <c r="R86" t="s">
        <v>235</v>
      </c>
      <c r="S86" t="s">
        <v>235</v>
      </c>
      <c r="T86" t="s">
        <v>235</v>
      </c>
      <c r="U86" t="s">
        <v>235</v>
      </c>
      <c r="V86" t="s">
        <v>235</v>
      </c>
      <c r="W86" t="s">
        <v>235</v>
      </c>
      <c r="X86" t="s">
        <v>235</v>
      </c>
      <c r="Y86" t="s">
        <v>235</v>
      </c>
      <c r="Z86" t="s">
        <v>235</v>
      </c>
      <c r="AA86" t="s">
        <v>235</v>
      </c>
      <c r="AB86" t="s">
        <v>235</v>
      </c>
      <c r="AC86" t="s">
        <v>235</v>
      </c>
      <c r="AD86" t="s">
        <v>235</v>
      </c>
      <c r="AE86" t="s">
        <v>235</v>
      </c>
      <c r="AF86" t="s">
        <v>235</v>
      </c>
      <c r="AG86" t="s">
        <v>235</v>
      </c>
      <c r="AH86" t="s">
        <v>235</v>
      </c>
      <c r="AI86" t="s">
        <v>235</v>
      </c>
    </row>
    <row r="87" spans="1:35">
      <c r="A87" t="s">
        <v>92</v>
      </c>
      <c r="B87" t="s">
        <v>93</v>
      </c>
      <c r="F87" t="s">
        <v>235</v>
      </c>
      <c r="G87" t="s">
        <v>235</v>
      </c>
      <c r="H87" t="s">
        <v>235</v>
      </c>
      <c r="I87" t="s">
        <v>235</v>
      </c>
      <c r="J87" t="s">
        <v>235</v>
      </c>
      <c r="K87" t="s">
        <v>235</v>
      </c>
      <c r="L87" t="s">
        <v>60</v>
      </c>
      <c r="M87" t="s">
        <v>235</v>
      </c>
      <c r="N87" t="s">
        <v>235</v>
      </c>
      <c r="O87" t="s">
        <v>235</v>
      </c>
      <c r="P87" t="s">
        <v>235</v>
      </c>
      <c r="Q87" t="s">
        <v>235</v>
      </c>
      <c r="R87" t="s">
        <v>235</v>
      </c>
      <c r="S87" t="s">
        <v>235</v>
      </c>
      <c r="T87" t="s">
        <v>235</v>
      </c>
      <c r="U87" t="s">
        <v>235</v>
      </c>
      <c r="V87" t="s">
        <v>235</v>
      </c>
      <c r="W87" t="s">
        <v>235</v>
      </c>
      <c r="X87" t="s">
        <v>235</v>
      </c>
      <c r="Y87" t="s">
        <v>235</v>
      </c>
      <c r="Z87" t="s">
        <v>235</v>
      </c>
      <c r="AA87" t="s">
        <v>235</v>
      </c>
      <c r="AB87" t="s">
        <v>235</v>
      </c>
      <c r="AC87" t="s">
        <v>235</v>
      </c>
      <c r="AD87" t="s">
        <v>235</v>
      </c>
      <c r="AE87" t="s">
        <v>235</v>
      </c>
      <c r="AF87" t="s">
        <v>235</v>
      </c>
      <c r="AG87" t="s">
        <v>235</v>
      </c>
      <c r="AH87" t="s">
        <v>235</v>
      </c>
      <c r="AI87" t="s">
        <v>235</v>
      </c>
    </row>
    <row r="88" spans="1:35">
      <c r="A88" t="s">
        <v>231</v>
      </c>
      <c r="B88" t="s">
        <v>232</v>
      </c>
      <c r="F88" t="s">
        <v>235</v>
      </c>
      <c r="G88" t="s">
        <v>235</v>
      </c>
      <c r="H88" t="s">
        <v>235</v>
      </c>
      <c r="I88" t="s">
        <v>235</v>
      </c>
      <c r="J88" t="s">
        <v>235</v>
      </c>
      <c r="K88" t="s">
        <v>235</v>
      </c>
      <c r="L88" t="s">
        <v>60</v>
      </c>
      <c r="M88" t="s">
        <v>235</v>
      </c>
      <c r="N88" t="s">
        <v>235</v>
      </c>
      <c r="O88" t="s">
        <v>235</v>
      </c>
      <c r="P88" t="s">
        <v>235</v>
      </c>
      <c r="Q88" t="s">
        <v>235</v>
      </c>
      <c r="R88" t="s">
        <v>235</v>
      </c>
      <c r="S88" t="s">
        <v>235</v>
      </c>
      <c r="T88" t="s">
        <v>235</v>
      </c>
      <c r="U88" t="s">
        <v>235</v>
      </c>
      <c r="V88" t="s">
        <v>235</v>
      </c>
      <c r="W88" t="s">
        <v>235</v>
      </c>
      <c r="X88" t="s">
        <v>235</v>
      </c>
      <c r="Y88" t="s">
        <v>235</v>
      </c>
      <c r="Z88" t="s">
        <v>235</v>
      </c>
      <c r="AA88" t="s">
        <v>235</v>
      </c>
      <c r="AB88" t="s">
        <v>235</v>
      </c>
      <c r="AC88" t="s">
        <v>235</v>
      </c>
      <c r="AD88" t="s">
        <v>235</v>
      </c>
      <c r="AE88" t="s">
        <v>235</v>
      </c>
      <c r="AF88" t="s">
        <v>235</v>
      </c>
      <c r="AG88" t="s">
        <v>235</v>
      </c>
      <c r="AH88" t="s">
        <v>235</v>
      </c>
      <c r="AI88" t="s">
        <v>235</v>
      </c>
    </row>
    <row r="89" spans="1:35">
      <c r="A89" t="s">
        <v>233</v>
      </c>
      <c r="B89" t="s">
        <v>234</v>
      </c>
      <c r="F89" t="s">
        <v>235</v>
      </c>
      <c r="G89" t="s">
        <v>235</v>
      </c>
      <c r="H89" t="s">
        <v>235</v>
      </c>
      <c r="I89" t="s">
        <v>235</v>
      </c>
      <c r="J89" t="s">
        <v>235</v>
      </c>
      <c r="K89" t="s">
        <v>235</v>
      </c>
      <c r="L89" t="s">
        <v>60</v>
      </c>
      <c r="M89" t="s">
        <v>235</v>
      </c>
      <c r="N89" t="s">
        <v>235</v>
      </c>
      <c r="O89" t="s">
        <v>235</v>
      </c>
      <c r="P89" t="s">
        <v>235</v>
      </c>
      <c r="Q89" t="s">
        <v>235</v>
      </c>
      <c r="R89" t="s">
        <v>235</v>
      </c>
      <c r="S89" t="s">
        <v>235</v>
      </c>
      <c r="T89" t="s">
        <v>235</v>
      </c>
      <c r="U89" t="s">
        <v>235</v>
      </c>
      <c r="V89" t="s">
        <v>235</v>
      </c>
      <c r="W89" t="s">
        <v>235</v>
      </c>
      <c r="X89" t="s">
        <v>235</v>
      </c>
      <c r="Y89" t="s">
        <v>235</v>
      </c>
      <c r="Z89" t="s">
        <v>235</v>
      </c>
      <c r="AA89" t="s">
        <v>235</v>
      </c>
      <c r="AB89" t="s">
        <v>235</v>
      </c>
      <c r="AC89" t="s">
        <v>235</v>
      </c>
      <c r="AD89" t="s">
        <v>235</v>
      </c>
      <c r="AE89" t="s">
        <v>235</v>
      </c>
      <c r="AF89" t="s">
        <v>235</v>
      </c>
      <c r="AG89" t="s">
        <v>235</v>
      </c>
      <c r="AH89" t="s">
        <v>235</v>
      </c>
      <c r="AI89" t="s">
        <v>235</v>
      </c>
    </row>
    <row r="90" spans="1:35">
      <c r="A90" t="s">
        <v>86</v>
      </c>
      <c r="B90" t="s">
        <v>87</v>
      </c>
      <c r="F90" t="s">
        <v>235</v>
      </c>
      <c r="G90" t="s">
        <v>235</v>
      </c>
      <c r="H90" t="s">
        <v>235</v>
      </c>
      <c r="I90" t="s">
        <v>235</v>
      </c>
      <c r="J90" t="s">
        <v>235</v>
      </c>
      <c r="K90" t="s">
        <v>235</v>
      </c>
      <c r="L90" t="s">
        <v>60</v>
      </c>
      <c r="M90" t="s">
        <v>235</v>
      </c>
      <c r="N90" t="s">
        <v>235</v>
      </c>
      <c r="O90" t="s">
        <v>235</v>
      </c>
      <c r="P90" t="s">
        <v>235</v>
      </c>
      <c r="Q90" t="s">
        <v>235</v>
      </c>
      <c r="R90" t="s">
        <v>235</v>
      </c>
      <c r="S90" t="s">
        <v>235</v>
      </c>
      <c r="T90" t="s">
        <v>235</v>
      </c>
      <c r="U90" t="s">
        <v>235</v>
      </c>
      <c r="V90" t="s">
        <v>235</v>
      </c>
      <c r="W90" t="s">
        <v>235</v>
      </c>
      <c r="X90" t="s">
        <v>235</v>
      </c>
      <c r="Y90" t="s">
        <v>235</v>
      </c>
      <c r="Z90" t="s">
        <v>235</v>
      </c>
      <c r="AA90" t="s">
        <v>235</v>
      </c>
      <c r="AB90" t="s">
        <v>235</v>
      </c>
      <c r="AC90" t="s">
        <v>235</v>
      </c>
      <c r="AD90" t="s">
        <v>235</v>
      </c>
      <c r="AE90" t="s">
        <v>235</v>
      </c>
      <c r="AF90" t="s">
        <v>235</v>
      </c>
      <c r="AG90" t="s">
        <v>235</v>
      </c>
      <c r="AH90" t="s">
        <v>235</v>
      </c>
      <c r="AI90" t="s">
        <v>235</v>
      </c>
    </row>
  </sheetData>
  <autoFilter ref="A1:AI55" xr:uid="{42A8B348-C17E-45AA-A421-C490108EA230}">
    <sortState xmlns:xlrd2="http://schemas.microsoft.com/office/spreadsheetml/2017/richdata2" ref="A2:AI55">
      <sortCondition descending="1" ref="J1:J55"/>
    </sortState>
  </autoFilter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621C-AA9C-4FC6-B3F0-C3FF3A75343E}">
  <sheetPr>
    <pageSetUpPr fitToPage="1"/>
  </sheetPr>
  <dimension ref="A1:S233"/>
  <sheetViews>
    <sheetView zoomScale="55" zoomScaleNormal="55" workbookViewId="0">
      <selection activeCell="C5" sqref="C1:C1048576"/>
    </sheetView>
  </sheetViews>
  <sheetFormatPr defaultRowHeight="14"/>
  <cols>
    <col min="1" max="1" width="31.6640625" bestFit="1" customWidth="1"/>
    <col min="2" max="2" width="54.33203125" bestFit="1" customWidth="1"/>
    <col min="3" max="4" width="16.08203125" customWidth="1"/>
    <col min="5" max="5" width="15.9140625" style="9" customWidth="1"/>
    <col min="6" max="6" width="19.33203125" style="9" bestFit="1" customWidth="1"/>
    <col min="7" max="7" width="18.33203125" style="9" customWidth="1"/>
    <col min="8" max="8" width="17.08203125" style="9" customWidth="1"/>
    <col min="9" max="9" width="11.6640625" style="9" bestFit="1" customWidth="1"/>
    <col min="10" max="10" width="10.33203125" style="9" bestFit="1" customWidth="1"/>
    <col min="11" max="11" width="21.33203125" style="9" customWidth="1"/>
    <col min="12" max="12" width="21.9140625" style="9" customWidth="1"/>
    <col min="13" max="13" width="22.9140625" style="9" customWidth="1"/>
    <col min="14" max="14" width="16" style="9" customWidth="1"/>
    <col min="15" max="15" width="24.33203125" style="9" customWidth="1"/>
    <col min="16" max="16" width="22.33203125" style="9" customWidth="1"/>
    <col min="17" max="17" width="19" style="9" customWidth="1"/>
    <col min="18" max="18" width="25.9140625" style="9" customWidth="1"/>
    <col min="19" max="19" width="20.08203125" style="9" customWidth="1"/>
  </cols>
  <sheetData>
    <row r="1" spans="1:19" s="3" customFormat="1" ht="25.25" customHeight="1">
      <c r="A1" s="27" t="s">
        <v>27</v>
      </c>
      <c r="B1" s="28" t="s">
        <v>28</v>
      </c>
      <c r="C1" s="4"/>
      <c r="D1" s="4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32" customHeight="1"/>
    <row r="3" spans="1:19" ht="78" customHeight="1">
      <c r="A3" s="72" t="s">
        <v>29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</row>
    <row r="4" spans="1:19" ht="47.4" customHeight="1">
      <c r="A4" s="73" t="s">
        <v>30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</row>
    <row r="5" spans="1:19" ht="30" customHeight="1">
      <c r="A5" s="40" t="s">
        <v>31</v>
      </c>
      <c r="B5" s="41" t="str">
        <f>B1</f>
        <v>N_G8_TULIPS</v>
      </c>
      <c r="K5" s="74">
        <v>45829</v>
      </c>
      <c r="L5" s="74"/>
      <c r="M5" s="74"/>
      <c r="N5" s="74"/>
      <c r="O5" s="74"/>
      <c r="P5" s="74"/>
      <c r="Q5" s="74"/>
    </row>
    <row r="6" spans="1:19" ht="30" customHeight="1">
      <c r="A6" s="40" t="s">
        <v>32</v>
      </c>
      <c r="B6" s="42" t="str">
        <f>IF(LEFT(B5,1)="P","PRAGATHINAGAR","NIZAMPET")</f>
        <v>NIZAMPET</v>
      </c>
      <c r="K6" s="70"/>
      <c r="L6" s="70"/>
      <c r="M6" s="70"/>
      <c r="N6" s="70"/>
      <c r="O6" s="70"/>
      <c r="P6" s="70"/>
      <c r="Q6" s="70"/>
    </row>
    <row r="7" spans="1:19" ht="30" customHeight="1">
      <c r="A7" s="43" t="s">
        <v>33</v>
      </c>
      <c r="B7" s="44" t="e">
        <f>CONCATENATE(LEFT(AVERAGE((J1:J102)),5),"%")</f>
        <v>#DIV/0!</v>
      </c>
      <c r="K7" s="70"/>
      <c r="L7" s="70"/>
      <c r="M7" s="70"/>
      <c r="N7" s="70"/>
      <c r="O7" s="70"/>
      <c r="P7" s="70"/>
      <c r="Q7" s="70"/>
    </row>
    <row r="8" spans="1:19" ht="39" customHeight="1">
      <c r="A8" s="43" t="s">
        <v>34</v>
      </c>
      <c r="B8" s="44" t="e">
        <f>LEFT(AVERAGE((I11:I1000)),5)</f>
        <v>#DIV/0!</v>
      </c>
      <c r="C8" s="80" t="s">
        <v>35</v>
      </c>
      <c r="D8" s="80"/>
      <c r="E8" s="80"/>
      <c r="F8" s="80"/>
      <c r="G8" s="80"/>
      <c r="H8" s="80"/>
      <c r="I8" s="80"/>
      <c r="J8" s="81"/>
      <c r="K8" s="30" t="e">
        <f>LEFT(AVERAGE((K11:K1000)),5)</f>
        <v>#DIV/0!</v>
      </c>
      <c r="L8" s="31" t="e">
        <f t="shared" ref="L8:Q8" si="0">LEFT(AVERAGE((L11:L1000)),5)</f>
        <v>#DIV/0!</v>
      </c>
      <c r="M8" s="31" t="e">
        <f t="shared" si="0"/>
        <v>#DIV/0!</v>
      </c>
      <c r="N8" s="32" t="e">
        <f t="shared" si="0"/>
        <v>#DIV/0!</v>
      </c>
      <c r="O8" s="31" t="e">
        <f t="shared" si="0"/>
        <v>#DIV/0!</v>
      </c>
      <c r="P8" s="31" t="e">
        <f t="shared" si="0"/>
        <v>#DIV/0!</v>
      </c>
      <c r="Q8" s="33" t="e">
        <f t="shared" si="0"/>
        <v>#DIV/0!</v>
      </c>
    </row>
    <row r="9" spans="1:19" ht="30" customHeight="1">
      <c r="A9" s="77" t="s">
        <v>0</v>
      </c>
      <c r="B9" s="78" t="s">
        <v>1</v>
      </c>
      <c r="C9" s="79" t="s">
        <v>36</v>
      </c>
      <c r="D9" s="71"/>
      <c r="E9" s="75" t="s">
        <v>37</v>
      </c>
      <c r="F9" s="75"/>
      <c r="G9" s="75"/>
      <c r="H9" s="75"/>
      <c r="I9" s="75"/>
      <c r="J9" s="75"/>
      <c r="K9" s="76" t="s">
        <v>38</v>
      </c>
      <c r="L9" s="76"/>
      <c r="M9" s="76"/>
      <c r="N9" s="76" t="s">
        <v>39</v>
      </c>
      <c r="O9" s="76"/>
      <c r="P9" s="76"/>
      <c r="Q9" s="76" t="s">
        <v>40</v>
      </c>
      <c r="R9" s="76"/>
      <c r="S9" s="76"/>
    </row>
    <row r="10" spans="1:19" s="5" customFormat="1" ht="45" customHeight="1">
      <c r="A10" s="77"/>
      <c r="B10" s="78"/>
      <c r="C10" s="79"/>
      <c r="D10" s="71" t="s">
        <v>41</v>
      </c>
      <c r="E10" s="23" t="s">
        <v>42</v>
      </c>
      <c r="F10" s="24" t="s">
        <v>43</v>
      </c>
      <c r="G10" s="15" t="s">
        <v>44</v>
      </c>
      <c r="H10" s="12" t="s">
        <v>8</v>
      </c>
      <c r="I10" s="16" t="s">
        <v>45</v>
      </c>
      <c r="J10" s="29" t="s">
        <v>46</v>
      </c>
      <c r="K10" s="26" t="s">
        <v>47</v>
      </c>
      <c r="L10" s="26" t="s">
        <v>18</v>
      </c>
      <c r="M10" s="26" t="s">
        <v>19</v>
      </c>
      <c r="N10" s="26" t="s">
        <v>48</v>
      </c>
      <c r="O10" s="26" t="s">
        <v>21</v>
      </c>
      <c r="P10" s="26" t="s">
        <v>22</v>
      </c>
      <c r="Q10" s="26" t="s">
        <v>49</v>
      </c>
      <c r="R10" s="6" t="s">
        <v>24</v>
      </c>
      <c r="S10" s="6" t="s">
        <v>25</v>
      </c>
    </row>
    <row r="11" spans="1:19" s="3" customFormat="1" ht="40.25" customHeight="1">
      <c r="A11" s="25" t="str" cm="1">
        <f t="array" ref="A11">_xlfn._xlws.FILTER(Score_Sheet!A:B,Score_Sheet!L:L=Sheet1!B1,"NA")</f>
        <v>NA</v>
      </c>
      <c r="B11" s="25"/>
      <c r="C11" s="14" t="str">
        <f t="shared" ref="C11:C47" si="1">IF(I11="A","A",IF(ISBLANK($A11),"",_xlfn.IFNA(RANK(I11,I:I,0),"")))</f>
        <v/>
      </c>
      <c r="D11" s="14"/>
      <c r="E11" s="19" t="str" cm="1">
        <f t="array" ref="E11">IF(ISBLANK($A11),"",_xlfn._xlws.FILTER(Score_Sheet!$F:$K,(Score_Sheet!$L:$L=Sheet1!$B$1)*(Score_Sheet!$A:$A=Sheet1!$A11),"NA"))</f>
        <v>NA</v>
      </c>
      <c r="F11" s="36"/>
      <c r="G11" s="39"/>
      <c r="H11" s="17"/>
      <c r="I11" s="22"/>
      <c r="J11" s="20"/>
      <c r="K11" s="21" t="str" cm="1">
        <f t="array" ref="K11">IF(ISBLANK($A11),"",_xlfn._xlws.FILTER(Score_Sheet!$AA:$AI,(Score_Sheet!$L:$L=Sheet1!$B$1)*(Score_Sheet!$A:$A=Sheet1!$A11),"NA"))</f>
        <v>NA</v>
      </c>
      <c r="L11" s="21"/>
      <c r="M11" s="21"/>
      <c r="N11" s="21"/>
      <c r="O11" s="21"/>
      <c r="P11" s="21"/>
      <c r="Q11" s="21"/>
      <c r="R11" s="13"/>
      <c r="S11" s="13"/>
    </row>
    <row r="12" spans="1:19" s="3" customFormat="1" ht="40.25" customHeight="1">
      <c r="A12" s="25"/>
      <c r="B12" s="25"/>
      <c r="C12" s="14" t="str">
        <f t="shared" si="1"/>
        <v/>
      </c>
      <c r="D12" s="14"/>
      <c r="E12" s="19" t="str" cm="1">
        <f t="array" ref="E12">IF(ISBLANK($A12),"",_xlfn._xlws.FILTER(Score_Sheet!$F:$K,(Score_Sheet!$L:$L=Sheet1!$B$1)*(Score_Sheet!$A:$A=Sheet1!$A12),"NA"))</f>
        <v/>
      </c>
      <c r="F12" s="36"/>
      <c r="G12" s="39"/>
      <c r="H12" s="17"/>
      <c r="I12" s="22"/>
      <c r="J12" s="20"/>
      <c r="K12" s="21" t="str" cm="1">
        <f t="array" ref="K12">IF(ISBLANK($A12),"",_xlfn._xlws.FILTER(Score_Sheet!$AA:$AI,(Score_Sheet!$L:$L=Sheet1!$B$1)*(Score_Sheet!$A:$A=Sheet1!$A12),"NA"))</f>
        <v/>
      </c>
      <c r="L12" s="21"/>
      <c r="M12" s="21"/>
      <c r="N12" s="21"/>
      <c r="O12" s="21"/>
      <c r="P12" s="21"/>
      <c r="Q12" s="21"/>
      <c r="R12" s="13"/>
      <c r="S12" s="13"/>
    </row>
    <row r="13" spans="1:19" s="3" customFormat="1" ht="40.25" customHeight="1">
      <c r="A13" s="25"/>
      <c r="B13" s="25"/>
      <c r="C13" s="14" t="str">
        <f t="shared" si="1"/>
        <v/>
      </c>
      <c r="D13" s="14"/>
      <c r="E13" s="19" t="str" cm="1">
        <f t="array" ref="E13">IF(ISBLANK($A13),"",_xlfn._xlws.FILTER(Score_Sheet!$F:$K,(Score_Sheet!$L:$L=Sheet1!$B$1)*(Score_Sheet!$A:$A=Sheet1!$A13),"NA"))</f>
        <v/>
      </c>
      <c r="F13" s="36"/>
      <c r="G13" s="39"/>
      <c r="H13" s="17"/>
      <c r="I13" s="22"/>
      <c r="J13" s="20"/>
      <c r="K13" s="21" t="str" cm="1">
        <f t="array" ref="K13">IF(ISBLANK($A13),"",_xlfn._xlws.FILTER(Score_Sheet!$AA:$AI,(Score_Sheet!$L:$L=Sheet1!$B$1)*(Score_Sheet!$A:$A=Sheet1!$A13),"NA"))</f>
        <v/>
      </c>
      <c r="L13" s="21"/>
      <c r="M13" s="21"/>
      <c r="N13" s="21"/>
      <c r="O13" s="21"/>
      <c r="P13" s="21"/>
      <c r="Q13" s="21"/>
      <c r="R13" s="13"/>
      <c r="S13" s="13"/>
    </row>
    <row r="14" spans="1:19" s="3" customFormat="1" ht="40.25" customHeight="1">
      <c r="A14" s="25"/>
      <c r="B14" s="25"/>
      <c r="C14" s="14" t="str">
        <f t="shared" si="1"/>
        <v/>
      </c>
      <c r="D14" s="14"/>
      <c r="E14" s="19" t="str" cm="1">
        <f t="array" ref="E14">IF(ISBLANK($A14),"",_xlfn._xlws.FILTER(Score_Sheet!$F:$K,(Score_Sheet!$L:$L=Sheet1!$B$1)*(Score_Sheet!$A:$A=Sheet1!$A14),"NA"))</f>
        <v/>
      </c>
      <c r="F14" s="36"/>
      <c r="G14" s="39"/>
      <c r="H14" s="17"/>
      <c r="I14" s="22"/>
      <c r="J14" s="20"/>
      <c r="K14" s="21" t="str" cm="1">
        <f t="array" ref="K14">IF(ISBLANK($A14),"",_xlfn._xlws.FILTER(Score_Sheet!$AA:$AI,(Score_Sheet!$L:$L=Sheet1!$B$1)*(Score_Sheet!$A:$A=Sheet1!$A14),"NA"))</f>
        <v/>
      </c>
      <c r="L14" s="21"/>
      <c r="M14" s="21"/>
      <c r="N14" s="21"/>
      <c r="O14" s="21"/>
      <c r="P14" s="21"/>
      <c r="Q14" s="21"/>
      <c r="R14" s="13"/>
      <c r="S14" s="13"/>
    </row>
    <row r="15" spans="1:19" s="3" customFormat="1" ht="40.25" customHeight="1">
      <c r="A15" s="25"/>
      <c r="B15" s="25"/>
      <c r="C15" s="14" t="str">
        <f t="shared" si="1"/>
        <v/>
      </c>
      <c r="D15" s="14"/>
      <c r="E15" s="19" t="str" cm="1">
        <f t="array" ref="E15">IF(ISBLANK($A15),"",_xlfn._xlws.FILTER(Score_Sheet!$F:$K,(Score_Sheet!$L:$L=Sheet1!$B$1)*(Score_Sheet!$A:$A=Sheet1!$A15),"NA"))</f>
        <v/>
      </c>
      <c r="F15" s="36"/>
      <c r="G15" s="39"/>
      <c r="H15" s="17"/>
      <c r="I15" s="22"/>
      <c r="J15" s="20"/>
      <c r="K15" s="21" t="str" cm="1">
        <f t="array" ref="K15">IF(ISBLANK($A15),"",_xlfn._xlws.FILTER(Score_Sheet!$AA:$AI,(Score_Sheet!$L:$L=Sheet1!$B$1)*(Score_Sheet!$A:$A=Sheet1!$A15),"NA"))</f>
        <v/>
      </c>
      <c r="L15" s="21"/>
      <c r="M15" s="21"/>
      <c r="N15" s="21"/>
      <c r="O15" s="21"/>
      <c r="P15" s="21"/>
      <c r="Q15" s="21"/>
      <c r="R15" s="13"/>
      <c r="S15" s="13"/>
    </row>
    <row r="16" spans="1:19" s="3" customFormat="1" ht="40.25" customHeight="1">
      <c r="A16" s="25"/>
      <c r="B16" s="25"/>
      <c r="C16" s="14" t="str">
        <f t="shared" si="1"/>
        <v/>
      </c>
      <c r="D16" s="14"/>
      <c r="E16" s="19" t="str" cm="1">
        <f t="array" ref="E16">IF(ISBLANK($A16),"",_xlfn._xlws.FILTER(Score_Sheet!$F:$K,(Score_Sheet!$L:$L=Sheet1!$B$1)*(Score_Sheet!$A:$A=Sheet1!$A16),"NA"))</f>
        <v/>
      </c>
      <c r="F16" s="36"/>
      <c r="G16" s="39"/>
      <c r="H16" s="17"/>
      <c r="I16" s="22"/>
      <c r="J16" s="20"/>
      <c r="K16" s="21" t="str" cm="1">
        <f t="array" ref="K16">IF(ISBLANK($A16),"",_xlfn._xlws.FILTER(Score_Sheet!$AA:$AI,(Score_Sheet!$L:$L=Sheet1!$B$1)*(Score_Sheet!$A:$A=Sheet1!$A16),"NA"))</f>
        <v/>
      </c>
      <c r="L16" s="21"/>
      <c r="M16" s="21"/>
      <c r="N16" s="21"/>
      <c r="O16" s="21"/>
      <c r="P16" s="21"/>
      <c r="Q16" s="21"/>
      <c r="R16" s="13"/>
      <c r="S16" s="13"/>
    </row>
    <row r="17" spans="1:19" s="3" customFormat="1" ht="40.25" customHeight="1">
      <c r="A17" s="25"/>
      <c r="B17" s="25"/>
      <c r="C17" s="14" t="str">
        <f t="shared" si="1"/>
        <v/>
      </c>
      <c r="D17" s="14"/>
      <c r="E17" s="19" t="str" cm="1">
        <f t="array" ref="E17">IF(ISBLANK($A17),"",_xlfn._xlws.FILTER(Score_Sheet!$F:$K,(Score_Sheet!$L:$L=Sheet1!$B$1)*(Score_Sheet!$A:$A=Sheet1!$A17),"NA"))</f>
        <v/>
      </c>
      <c r="F17" s="36"/>
      <c r="G17" s="39"/>
      <c r="H17" s="17"/>
      <c r="I17" s="22"/>
      <c r="J17" s="20"/>
      <c r="K17" s="21" t="str" cm="1">
        <f t="array" ref="K17">IF(ISBLANK($A17),"",_xlfn._xlws.FILTER(Score_Sheet!$AA:$AI,(Score_Sheet!$L:$L=Sheet1!$B$1)*(Score_Sheet!$A:$A=Sheet1!$A17),"NA"))</f>
        <v/>
      </c>
      <c r="L17" s="21"/>
      <c r="M17" s="21"/>
      <c r="N17" s="21"/>
      <c r="O17" s="21"/>
      <c r="P17" s="21"/>
      <c r="Q17" s="21"/>
      <c r="R17" s="13"/>
      <c r="S17" s="13"/>
    </row>
    <row r="18" spans="1:19" s="3" customFormat="1" ht="40.25" customHeight="1">
      <c r="A18" s="25"/>
      <c r="B18" s="25"/>
      <c r="C18" s="14" t="str">
        <f t="shared" si="1"/>
        <v/>
      </c>
      <c r="D18" s="14"/>
      <c r="E18" s="19" t="str" cm="1">
        <f t="array" ref="E18">IF(ISBLANK($A18),"",_xlfn._xlws.FILTER(Score_Sheet!$F:$K,(Score_Sheet!$L:$L=Sheet1!$B$1)*(Score_Sheet!$A:$A=Sheet1!$A18),"NA"))</f>
        <v/>
      </c>
      <c r="F18" s="36"/>
      <c r="G18" s="39"/>
      <c r="H18" s="17"/>
      <c r="I18" s="22"/>
      <c r="J18" s="20"/>
      <c r="K18" s="21" t="str" cm="1">
        <f t="array" ref="K18">IF(ISBLANK($A18),"",_xlfn._xlws.FILTER(Score_Sheet!$AA:$AI,(Score_Sheet!$L:$L=Sheet1!$B$1)*(Score_Sheet!$A:$A=Sheet1!$A18),"NA"))</f>
        <v/>
      </c>
      <c r="L18" s="21"/>
      <c r="M18" s="21"/>
      <c r="N18" s="21"/>
      <c r="O18" s="21"/>
      <c r="P18" s="21"/>
      <c r="Q18" s="21"/>
      <c r="R18" s="13"/>
      <c r="S18" s="13"/>
    </row>
    <row r="19" spans="1:19" s="3" customFormat="1" ht="40.25" customHeight="1">
      <c r="A19" s="25"/>
      <c r="B19" s="25"/>
      <c r="C19" s="14" t="str">
        <f t="shared" si="1"/>
        <v/>
      </c>
      <c r="D19" s="14"/>
      <c r="E19" s="19" t="str" cm="1">
        <f t="array" ref="E19">IF(ISBLANK($A19),"",_xlfn._xlws.FILTER(Score_Sheet!$F:$K,(Score_Sheet!$L:$L=Sheet1!$B$1)*(Score_Sheet!$A:$A=Sheet1!$A19),"NA"))</f>
        <v/>
      </c>
      <c r="F19" s="36"/>
      <c r="G19" s="39"/>
      <c r="H19" s="17"/>
      <c r="I19" s="22"/>
      <c r="J19" s="20"/>
      <c r="K19" s="21" t="str" cm="1">
        <f t="array" ref="K19">IF(ISBLANK($A19),"",_xlfn._xlws.FILTER(Score_Sheet!$AA:$AI,(Score_Sheet!$L:$L=Sheet1!$B$1)*(Score_Sheet!$A:$A=Sheet1!$A19),"NA"))</f>
        <v/>
      </c>
      <c r="L19" s="21"/>
      <c r="M19" s="21"/>
      <c r="N19" s="21"/>
      <c r="O19" s="21"/>
      <c r="P19" s="21"/>
      <c r="Q19" s="21"/>
      <c r="R19" s="13"/>
      <c r="S19" s="13"/>
    </row>
    <row r="20" spans="1:19" s="3" customFormat="1" ht="40.25" customHeight="1">
      <c r="A20" s="25"/>
      <c r="B20" s="25"/>
      <c r="C20" s="14" t="str">
        <f t="shared" si="1"/>
        <v/>
      </c>
      <c r="D20" s="14"/>
      <c r="E20" s="19" t="str" cm="1">
        <f t="array" ref="E20">IF(ISBLANK($A20),"",_xlfn._xlws.FILTER(Score_Sheet!$F:$K,(Score_Sheet!$L:$L=Sheet1!$B$1)*(Score_Sheet!$A:$A=Sheet1!$A20),"NA"))</f>
        <v/>
      </c>
      <c r="F20" s="36"/>
      <c r="G20" s="39"/>
      <c r="H20" s="17"/>
      <c r="I20" s="22"/>
      <c r="J20" s="20"/>
      <c r="K20" s="21" t="str" cm="1">
        <f t="array" ref="K20">IF(ISBLANK($A20),"",_xlfn._xlws.FILTER(Score_Sheet!$AA:$AI,(Score_Sheet!$L:$L=Sheet1!$B$1)*(Score_Sheet!$A:$A=Sheet1!$A20),"NA"))</f>
        <v/>
      </c>
      <c r="L20" s="21"/>
      <c r="M20" s="21"/>
      <c r="N20" s="21"/>
      <c r="O20" s="21"/>
      <c r="P20" s="21"/>
      <c r="Q20" s="21"/>
      <c r="R20" s="13"/>
      <c r="S20" s="13"/>
    </row>
    <row r="21" spans="1:19" s="3" customFormat="1" ht="40.25" customHeight="1">
      <c r="A21" s="25"/>
      <c r="B21" s="25"/>
      <c r="C21" s="14" t="str">
        <f t="shared" si="1"/>
        <v/>
      </c>
      <c r="D21" s="14"/>
      <c r="E21" s="19" t="str" cm="1">
        <f t="array" ref="E21">IF(ISBLANK($A21),"",_xlfn._xlws.FILTER(Score_Sheet!$F:$K,(Score_Sheet!$L:$L=Sheet1!$B$1)*(Score_Sheet!$A:$A=Sheet1!$A21),"NA"))</f>
        <v/>
      </c>
      <c r="F21" s="36"/>
      <c r="G21" s="39"/>
      <c r="H21" s="17"/>
      <c r="I21" s="22"/>
      <c r="J21" s="20"/>
      <c r="K21" s="21" t="str" cm="1">
        <f t="array" ref="K21">IF(ISBLANK($A21),"",_xlfn._xlws.FILTER(Score_Sheet!$AA:$AI,(Score_Sheet!$L:$L=Sheet1!$B$1)*(Score_Sheet!$A:$A=Sheet1!$A21),"NA"))</f>
        <v/>
      </c>
      <c r="L21" s="21"/>
      <c r="M21" s="21"/>
      <c r="N21" s="21"/>
      <c r="O21" s="21"/>
      <c r="P21" s="21"/>
      <c r="Q21" s="21"/>
      <c r="R21" s="13"/>
      <c r="S21" s="13"/>
    </row>
    <row r="22" spans="1:19" s="3" customFormat="1" ht="40.25" customHeight="1">
      <c r="A22" s="25"/>
      <c r="B22" s="25"/>
      <c r="C22" s="14" t="str">
        <f t="shared" si="1"/>
        <v/>
      </c>
      <c r="D22" s="14"/>
      <c r="E22" s="19" t="str" cm="1">
        <f t="array" ref="E22">IF(ISBLANK($A22),"",_xlfn._xlws.FILTER(Score_Sheet!$F:$K,(Score_Sheet!$L:$L=Sheet1!$B$1)*(Score_Sheet!$A:$A=Sheet1!$A22),"NA"))</f>
        <v/>
      </c>
      <c r="F22" s="36"/>
      <c r="G22" s="39"/>
      <c r="H22" s="17"/>
      <c r="I22" s="22"/>
      <c r="J22" s="20"/>
      <c r="K22" s="21" t="str" cm="1">
        <f t="array" ref="K22">IF(ISBLANK($A22),"",_xlfn._xlws.FILTER(Score_Sheet!$AA:$AI,(Score_Sheet!$L:$L=Sheet1!$B$1)*(Score_Sheet!$A:$A=Sheet1!$A22),"NA"))</f>
        <v/>
      </c>
      <c r="L22" s="21"/>
      <c r="M22" s="21"/>
      <c r="N22" s="21"/>
      <c r="O22" s="21"/>
      <c r="P22" s="21"/>
      <c r="Q22" s="21"/>
      <c r="R22" s="13"/>
      <c r="S22" s="13"/>
    </row>
    <row r="23" spans="1:19" s="3" customFormat="1" ht="40.25" customHeight="1">
      <c r="A23" s="25"/>
      <c r="B23" s="25"/>
      <c r="C23" s="14" t="str">
        <f t="shared" si="1"/>
        <v/>
      </c>
      <c r="D23" s="14"/>
      <c r="E23" s="19" t="str" cm="1">
        <f t="array" ref="E23">IF(ISBLANK($A23),"",_xlfn._xlws.FILTER(Score_Sheet!$F:$K,(Score_Sheet!$L:$L=Sheet1!$B$1)*(Score_Sheet!$A:$A=Sheet1!$A23),"NA"))</f>
        <v/>
      </c>
      <c r="F23" s="36"/>
      <c r="G23" s="39"/>
      <c r="H23" s="17"/>
      <c r="I23" s="22"/>
      <c r="J23" s="20"/>
      <c r="K23" s="21" t="str" cm="1">
        <f t="array" ref="K23">IF(ISBLANK($A23),"",_xlfn._xlws.FILTER(Score_Sheet!$AA:$AI,(Score_Sheet!$L:$L=Sheet1!$B$1)*(Score_Sheet!$A:$A=Sheet1!$A23),"NA"))</f>
        <v/>
      </c>
      <c r="L23" s="21"/>
      <c r="M23" s="21"/>
      <c r="N23" s="21"/>
      <c r="O23" s="21"/>
      <c r="P23" s="21"/>
      <c r="Q23" s="21"/>
      <c r="R23" s="13"/>
      <c r="S23" s="13"/>
    </row>
    <row r="24" spans="1:19" s="3" customFormat="1" ht="40.25" customHeight="1">
      <c r="A24" s="25"/>
      <c r="B24" s="25"/>
      <c r="C24" s="14" t="str">
        <f t="shared" si="1"/>
        <v/>
      </c>
      <c r="D24" s="14"/>
      <c r="E24" s="19" t="str" cm="1">
        <f t="array" ref="E24">IF(ISBLANK($A24),"",_xlfn._xlws.FILTER(Score_Sheet!$F:$K,(Score_Sheet!$L:$L=Sheet1!$B$1)*(Score_Sheet!$A:$A=Sheet1!$A24),"NA"))</f>
        <v/>
      </c>
      <c r="F24" s="36"/>
      <c r="G24" s="39"/>
      <c r="H24" s="17"/>
      <c r="I24" s="22"/>
      <c r="J24" s="20"/>
      <c r="K24" s="21" t="str" cm="1">
        <f t="array" ref="K24">IF(ISBLANK($A24),"",_xlfn._xlws.FILTER(Score_Sheet!$AA:$AI,(Score_Sheet!$L:$L=Sheet1!$B$1)*(Score_Sheet!$A:$A=Sheet1!$A24),"NA"))</f>
        <v/>
      </c>
      <c r="L24" s="21"/>
      <c r="M24" s="21"/>
      <c r="N24" s="21"/>
      <c r="O24" s="21"/>
      <c r="P24" s="21"/>
      <c r="Q24" s="21"/>
      <c r="R24" s="13"/>
      <c r="S24" s="13"/>
    </row>
    <row r="25" spans="1:19" s="3" customFormat="1" ht="40.25" customHeight="1">
      <c r="A25" s="25"/>
      <c r="B25" s="25"/>
      <c r="C25" s="14" t="str">
        <f t="shared" si="1"/>
        <v/>
      </c>
      <c r="D25" s="14"/>
      <c r="E25" s="19" t="str" cm="1">
        <f t="array" ref="E25">IF(ISBLANK($A25),"",_xlfn._xlws.FILTER(Score_Sheet!$F:$K,(Score_Sheet!$L:$L=Sheet1!$B$1)*(Score_Sheet!$A:$A=Sheet1!$A25),"NA"))</f>
        <v/>
      </c>
      <c r="F25" s="36"/>
      <c r="G25" s="39"/>
      <c r="H25" s="17"/>
      <c r="I25" s="22"/>
      <c r="J25" s="20"/>
      <c r="K25" s="21" t="str" cm="1">
        <f t="array" ref="K25">IF(ISBLANK($A25),"",_xlfn._xlws.FILTER(Score_Sheet!$AA:$AI,(Score_Sheet!$L:$L=Sheet1!$B$1)*(Score_Sheet!$A:$A=Sheet1!$A25),"NA"))</f>
        <v/>
      </c>
      <c r="L25" s="21"/>
      <c r="M25" s="21"/>
      <c r="N25" s="21"/>
      <c r="O25" s="21"/>
      <c r="P25" s="21"/>
      <c r="Q25" s="21"/>
      <c r="R25" s="13"/>
      <c r="S25" s="13"/>
    </row>
    <row r="26" spans="1:19" s="3" customFormat="1" ht="40.25" customHeight="1">
      <c r="A26" s="25"/>
      <c r="B26" s="25"/>
      <c r="C26" s="14" t="str">
        <f t="shared" si="1"/>
        <v/>
      </c>
      <c r="D26" s="14"/>
      <c r="E26" s="19" t="str" cm="1">
        <f t="array" ref="E26">IF(ISBLANK($A26),"",_xlfn._xlws.FILTER(Score_Sheet!$F:$K,(Score_Sheet!$L:$L=Sheet1!$B$1)*(Score_Sheet!$A:$A=Sheet1!$A26),"NA"))</f>
        <v/>
      </c>
      <c r="F26" s="36"/>
      <c r="G26" s="39"/>
      <c r="H26" s="17"/>
      <c r="I26" s="22"/>
      <c r="J26" s="20"/>
      <c r="K26" s="21" t="str" cm="1">
        <f t="array" ref="K26">IF(ISBLANK($A26),"",_xlfn._xlws.FILTER(Score_Sheet!$AA:$AI,(Score_Sheet!$L:$L=Sheet1!$B$1)*(Score_Sheet!$A:$A=Sheet1!$A26),"NA"))</f>
        <v/>
      </c>
      <c r="L26" s="21"/>
      <c r="M26" s="21"/>
      <c r="N26" s="21"/>
      <c r="O26" s="21"/>
      <c r="P26" s="21"/>
      <c r="Q26" s="21"/>
      <c r="R26" s="13"/>
      <c r="S26" s="13"/>
    </row>
    <row r="27" spans="1:19" s="3" customFormat="1" ht="40.25" customHeight="1">
      <c r="A27" s="25"/>
      <c r="B27" s="25"/>
      <c r="C27" s="14" t="str">
        <f t="shared" si="1"/>
        <v/>
      </c>
      <c r="D27" s="14"/>
      <c r="E27" s="19" t="str" cm="1">
        <f t="array" ref="E27">IF(ISBLANK($A27),"",_xlfn._xlws.FILTER(Score_Sheet!$F:$K,(Score_Sheet!$L:$L=Sheet1!$B$1)*(Score_Sheet!$A:$A=Sheet1!$A27),"NA"))</f>
        <v/>
      </c>
      <c r="F27" s="36"/>
      <c r="G27" s="39"/>
      <c r="H27" s="17"/>
      <c r="I27" s="22"/>
      <c r="J27" s="20"/>
      <c r="K27" s="21" t="str" cm="1">
        <f t="array" ref="K27">IF(ISBLANK($A27),"",_xlfn._xlws.FILTER(Score_Sheet!$AA:$AI,(Score_Sheet!$L:$L=Sheet1!$B$1)*(Score_Sheet!$A:$A=Sheet1!$A27),"NA"))</f>
        <v/>
      </c>
      <c r="L27" s="21"/>
      <c r="M27" s="21"/>
      <c r="N27" s="21"/>
      <c r="O27" s="21"/>
      <c r="P27" s="21"/>
      <c r="Q27" s="21"/>
      <c r="R27" s="13"/>
      <c r="S27" s="13"/>
    </row>
    <row r="28" spans="1:19" s="3" customFormat="1" ht="40.25" customHeight="1">
      <c r="A28" s="25"/>
      <c r="B28" s="25"/>
      <c r="C28" s="14" t="str">
        <f t="shared" si="1"/>
        <v/>
      </c>
      <c r="D28" s="14"/>
      <c r="E28" s="19" t="str" cm="1">
        <f t="array" ref="E28">IF(ISBLANK($A28),"",_xlfn._xlws.FILTER(Score_Sheet!$F:$K,(Score_Sheet!$L:$L=Sheet1!$B$1)*(Score_Sheet!$A:$A=Sheet1!$A28),"NA"))</f>
        <v/>
      </c>
      <c r="F28" s="36"/>
      <c r="G28" s="39"/>
      <c r="H28" s="17"/>
      <c r="I28" s="22"/>
      <c r="J28" s="20"/>
      <c r="K28" s="21" t="str" cm="1">
        <f t="array" ref="K28">IF(ISBLANK($A28),"",_xlfn._xlws.FILTER(Score_Sheet!$AA:$AI,(Score_Sheet!$L:$L=Sheet1!$B$1)*(Score_Sheet!$A:$A=Sheet1!$A28),"NA"))</f>
        <v/>
      </c>
      <c r="L28" s="21"/>
      <c r="M28" s="21"/>
      <c r="N28" s="21"/>
      <c r="O28" s="21"/>
      <c r="P28" s="21"/>
      <c r="Q28" s="21"/>
      <c r="R28" s="13"/>
      <c r="S28" s="13"/>
    </row>
    <row r="29" spans="1:19" s="3" customFormat="1" ht="40.25" customHeight="1">
      <c r="A29" s="25"/>
      <c r="B29" s="25"/>
      <c r="C29" s="14" t="str">
        <f t="shared" si="1"/>
        <v/>
      </c>
      <c r="D29" s="14"/>
      <c r="E29" s="19" t="str" cm="1">
        <f t="array" ref="E29">IF(ISBLANK($A29),"",_xlfn._xlws.FILTER(Score_Sheet!$F:$K,(Score_Sheet!$L:$L=Sheet1!$B$1)*(Score_Sheet!$A:$A=Sheet1!$A29),"NA"))</f>
        <v/>
      </c>
      <c r="F29" s="36"/>
      <c r="G29" s="39"/>
      <c r="H29" s="17"/>
      <c r="I29" s="22"/>
      <c r="J29" s="20"/>
      <c r="K29" s="21" t="str" cm="1">
        <f t="array" ref="K29">IF(ISBLANK($A29),"",_xlfn._xlws.FILTER(Score_Sheet!$AA:$AI,(Score_Sheet!$L:$L=Sheet1!$B$1)*(Score_Sheet!$A:$A=Sheet1!$A29),"NA"))</f>
        <v/>
      </c>
      <c r="L29" s="21"/>
      <c r="M29" s="21"/>
      <c r="N29" s="21"/>
      <c r="O29" s="21"/>
      <c r="P29" s="21"/>
      <c r="Q29" s="21"/>
      <c r="R29" s="13"/>
      <c r="S29" s="13"/>
    </row>
    <row r="30" spans="1:19" s="3" customFormat="1" ht="40.25" customHeight="1">
      <c r="A30" s="25"/>
      <c r="B30" s="25"/>
      <c r="C30" s="14" t="str">
        <f t="shared" si="1"/>
        <v/>
      </c>
      <c r="D30" s="14"/>
      <c r="E30" s="19" t="str" cm="1">
        <f t="array" ref="E30">IF(ISBLANK($A30),"",_xlfn._xlws.FILTER(Score_Sheet!$F:$K,(Score_Sheet!$L:$L=Sheet1!$B$1)*(Score_Sheet!$A:$A=Sheet1!$A30),"NA"))</f>
        <v/>
      </c>
      <c r="F30" s="36"/>
      <c r="G30" s="39"/>
      <c r="H30" s="17"/>
      <c r="I30" s="22"/>
      <c r="J30" s="20"/>
      <c r="K30" s="21" t="str" cm="1">
        <f t="array" ref="K30">IF(ISBLANK($A30),"",_xlfn._xlws.FILTER(Score_Sheet!$AA:$AI,(Score_Sheet!$L:$L=Sheet1!$B$1)*(Score_Sheet!$A:$A=Sheet1!$A30),"NA"))</f>
        <v/>
      </c>
      <c r="L30" s="21"/>
      <c r="M30" s="21"/>
      <c r="N30" s="21"/>
      <c r="O30" s="21"/>
      <c r="P30" s="21"/>
      <c r="Q30" s="21"/>
      <c r="R30" s="13"/>
      <c r="S30" s="13"/>
    </row>
    <row r="31" spans="1:19" s="3" customFormat="1" ht="40.25" customHeight="1">
      <c r="A31" s="25"/>
      <c r="B31" s="25"/>
      <c r="C31" s="14" t="str">
        <f t="shared" si="1"/>
        <v/>
      </c>
      <c r="D31" s="14"/>
      <c r="E31" s="19" t="str" cm="1">
        <f t="array" ref="E31">IF(ISBLANK($A31),"",_xlfn._xlws.FILTER(Score_Sheet!$F:$K,(Score_Sheet!$L:$L=Sheet1!$B$1)*(Score_Sheet!$A:$A=Sheet1!$A31),"NA"))</f>
        <v/>
      </c>
      <c r="F31" s="36"/>
      <c r="G31" s="39"/>
      <c r="H31" s="17"/>
      <c r="I31" s="22"/>
      <c r="J31" s="20"/>
      <c r="K31" s="21" t="str" cm="1">
        <f t="array" ref="K31">IF(ISBLANK($A31),"",_xlfn._xlws.FILTER(Score_Sheet!$AA:$AI,(Score_Sheet!$L:$L=Sheet1!$B$1)*(Score_Sheet!$A:$A=Sheet1!$A31),"NA"))</f>
        <v/>
      </c>
      <c r="L31" s="21"/>
      <c r="M31" s="21"/>
      <c r="N31" s="21"/>
      <c r="O31" s="21"/>
      <c r="P31" s="21"/>
      <c r="Q31" s="21"/>
      <c r="R31" s="13"/>
      <c r="S31" s="13"/>
    </row>
    <row r="32" spans="1:19" s="3" customFormat="1" ht="40.25" customHeight="1">
      <c r="A32" s="25"/>
      <c r="B32" s="25"/>
      <c r="C32" s="14" t="str">
        <f t="shared" si="1"/>
        <v/>
      </c>
      <c r="D32" s="14"/>
      <c r="E32" s="19" t="str" cm="1">
        <f t="array" ref="E32">IF(ISBLANK($A32),"",_xlfn._xlws.FILTER(Score_Sheet!$F:$K,(Score_Sheet!$L:$L=Sheet1!$B$1)*(Score_Sheet!$A:$A=Sheet1!$A32),"NA"))</f>
        <v/>
      </c>
      <c r="F32" s="36"/>
      <c r="G32" s="39"/>
      <c r="H32" s="17"/>
      <c r="I32" s="22"/>
      <c r="J32" s="20"/>
      <c r="K32" s="21" t="str" cm="1">
        <f t="array" ref="K32">IF(ISBLANK($A32),"",_xlfn._xlws.FILTER(Score_Sheet!$AA:$AI,(Score_Sheet!$L:$L=Sheet1!$B$1)*(Score_Sheet!$A:$A=Sheet1!$A32),"NA"))</f>
        <v/>
      </c>
      <c r="L32" s="21"/>
      <c r="M32" s="21"/>
      <c r="N32" s="21"/>
      <c r="O32" s="21"/>
      <c r="P32" s="21"/>
      <c r="Q32" s="21"/>
      <c r="R32" s="13"/>
      <c r="S32" s="13"/>
    </row>
    <row r="33" spans="1:19" s="3" customFormat="1" ht="40.25" customHeight="1">
      <c r="A33" s="25"/>
      <c r="B33" s="25"/>
      <c r="C33" s="14" t="str">
        <f t="shared" si="1"/>
        <v/>
      </c>
      <c r="D33" s="14"/>
      <c r="E33" s="19" t="str" cm="1">
        <f t="array" ref="E33">IF(ISBLANK($A33),"",_xlfn._xlws.FILTER(Score_Sheet!$F:$K,(Score_Sheet!$L:$L=Sheet1!$B$1)*(Score_Sheet!$A:$A=Sheet1!$A33),"NA"))</f>
        <v/>
      </c>
      <c r="F33" s="36"/>
      <c r="G33" s="39"/>
      <c r="H33" s="17"/>
      <c r="I33" s="22"/>
      <c r="J33" s="20"/>
      <c r="K33" s="21" t="str" cm="1">
        <f t="array" ref="K33">IF(ISBLANK($A33),"",_xlfn._xlws.FILTER(Score_Sheet!$AA:$AI,(Score_Sheet!$L:$L=Sheet1!$B$1)*(Score_Sheet!$A:$A=Sheet1!$A33),"NA"))</f>
        <v/>
      </c>
      <c r="L33" s="21"/>
      <c r="M33" s="21"/>
      <c r="N33" s="21"/>
      <c r="O33" s="21"/>
      <c r="P33" s="21"/>
      <c r="Q33" s="21"/>
      <c r="R33" s="13"/>
      <c r="S33" s="13"/>
    </row>
    <row r="34" spans="1:19" s="3" customFormat="1" ht="40.25" customHeight="1">
      <c r="A34" s="25"/>
      <c r="B34" s="25"/>
      <c r="C34" s="14" t="str">
        <f t="shared" si="1"/>
        <v/>
      </c>
      <c r="D34" s="14"/>
      <c r="E34" s="19" t="str" cm="1">
        <f t="array" ref="E34">IF(ISBLANK($A34),"",_xlfn._xlws.FILTER(Score_Sheet!$F:$K,(Score_Sheet!$L:$L=Sheet1!$B$1)*(Score_Sheet!$A:$A=Sheet1!$A34),"NA"))</f>
        <v/>
      </c>
      <c r="F34" s="36"/>
      <c r="G34" s="39"/>
      <c r="H34" s="17"/>
      <c r="I34" s="22"/>
      <c r="J34" s="20"/>
      <c r="K34" s="21" t="str" cm="1">
        <f t="array" ref="K34">IF(ISBLANK($A34),"",_xlfn._xlws.FILTER(Score_Sheet!$AA:$AI,(Score_Sheet!$L:$L=Sheet1!$B$1)*(Score_Sheet!$A:$A=Sheet1!$A34),"NA"))</f>
        <v/>
      </c>
      <c r="L34" s="21"/>
      <c r="M34" s="21"/>
      <c r="N34" s="21"/>
      <c r="O34" s="21"/>
      <c r="P34" s="21"/>
      <c r="Q34" s="21"/>
      <c r="R34" s="13"/>
      <c r="S34" s="13"/>
    </row>
    <row r="35" spans="1:19" s="3" customFormat="1" ht="40.25" customHeight="1">
      <c r="A35" s="25"/>
      <c r="B35" s="25"/>
      <c r="C35" s="14" t="str">
        <f t="shared" si="1"/>
        <v/>
      </c>
      <c r="D35" s="14"/>
      <c r="E35" s="19" t="str" cm="1">
        <f t="array" ref="E35">IF(ISBLANK($A35),"",_xlfn._xlws.FILTER(Score_Sheet!$F:$K,(Score_Sheet!$L:$L=Sheet1!$B$1)*(Score_Sheet!$A:$A=Sheet1!$A35),"NA"))</f>
        <v/>
      </c>
      <c r="F35" s="36"/>
      <c r="G35" s="39"/>
      <c r="H35" s="17"/>
      <c r="I35" s="22"/>
      <c r="J35" s="20"/>
      <c r="K35" s="21" t="str" cm="1">
        <f t="array" ref="K35">IF(ISBLANK($A35),"",_xlfn._xlws.FILTER(Score_Sheet!$AA:$AI,(Score_Sheet!$L:$L=Sheet1!$B$1)*(Score_Sheet!$A:$A=Sheet1!$A35),"NA"))</f>
        <v/>
      </c>
      <c r="L35" s="21"/>
      <c r="M35" s="21"/>
      <c r="N35" s="21"/>
      <c r="O35" s="21"/>
      <c r="P35" s="21"/>
      <c r="Q35" s="21"/>
      <c r="R35" s="13"/>
      <c r="S35" s="13"/>
    </row>
    <row r="36" spans="1:19" s="3" customFormat="1" ht="40.25" customHeight="1">
      <c r="A36" s="25"/>
      <c r="B36" s="25"/>
      <c r="C36" s="14" t="str">
        <f t="shared" si="1"/>
        <v/>
      </c>
      <c r="D36" s="14"/>
      <c r="E36" s="18" t="str" cm="1">
        <f t="array" ref="E36">IF(ISBLANK($A36),"",_xlfn._xlws.FILTER(Score_Sheet!$F:$K,(Score_Sheet!$L:$L=Sheet1!$B$1)*(Score_Sheet!$A:$A=Sheet1!$A36),"NA"))</f>
        <v/>
      </c>
      <c r="F36" s="36"/>
      <c r="G36" s="39"/>
      <c r="H36" s="17"/>
      <c r="I36" s="22"/>
      <c r="J36" s="20"/>
      <c r="K36" s="21" t="str" cm="1">
        <f t="array" ref="K36">IF(ISBLANK($A36),"",_xlfn._xlws.FILTER(Score_Sheet!$AA:$AI,(Score_Sheet!$L:$L=Sheet1!$B$1)*(Score_Sheet!$A:$A=Sheet1!$A36),"NA"))</f>
        <v/>
      </c>
      <c r="L36" s="21"/>
      <c r="M36" s="21"/>
      <c r="N36" s="21"/>
      <c r="O36" s="21"/>
      <c r="P36" s="21"/>
      <c r="Q36" s="21"/>
      <c r="R36" s="13"/>
      <c r="S36" s="13"/>
    </row>
    <row r="37" spans="1:19" s="3" customFormat="1" ht="40.25" customHeight="1">
      <c r="A37" s="25"/>
      <c r="B37" s="25"/>
      <c r="C37" s="14" t="str">
        <f t="shared" si="1"/>
        <v/>
      </c>
      <c r="D37" s="14"/>
      <c r="E37" s="18" t="str" cm="1">
        <f t="array" ref="E37">IF(ISBLANK($A37),"",_xlfn._xlws.FILTER(Score_Sheet!$F:$K,(Score_Sheet!$L:$L=Sheet1!$B$1)*(Score_Sheet!$A:$A=Sheet1!$A37),"NA"))</f>
        <v/>
      </c>
      <c r="F37" s="36"/>
      <c r="G37" s="39"/>
      <c r="H37" s="17"/>
      <c r="I37" s="22"/>
      <c r="J37" s="20"/>
      <c r="K37" s="21" t="str" cm="1">
        <f t="array" ref="K37">IF(ISBLANK($A37),"",_xlfn._xlws.FILTER(Score_Sheet!$AA:$AI,(Score_Sheet!$L:$L=Sheet1!$B$1)*(Score_Sheet!$A:$A=Sheet1!$A37),"NA"))</f>
        <v/>
      </c>
      <c r="L37" s="21"/>
      <c r="M37" s="21"/>
      <c r="N37" s="21"/>
      <c r="O37" s="21"/>
      <c r="P37" s="21"/>
      <c r="Q37" s="21"/>
      <c r="R37" s="13"/>
      <c r="S37" s="13"/>
    </row>
    <row r="38" spans="1:19" s="3" customFormat="1" ht="40.25" customHeight="1">
      <c r="A38" s="25"/>
      <c r="B38" s="25"/>
      <c r="C38" s="14" t="str">
        <f t="shared" si="1"/>
        <v/>
      </c>
      <c r="D38" s="14"/>
      <c r="E38" s="18" t="str" cm="1">
        <f t="array" ref="E38">IF(ISBLANK($A38),"",_xlfn._xlws.FILTER(Score_Sheet!$F:$K,(Score_Sheet!$L:$L=Sheet1!$B$1)*(Score_Sheet!$A:$A=Sheet1!$A38),"NA"))</f>
        <v/>
      </c>
      <c r="F38" s="36"/>
      <c r="G38" s="39"/>
      <c r="H38" s="17"/>
      <c r="I38" s="22"/>
      <c r="J38" s="20"/>
      <c r="K38" s="21" t="str" cm="1">
        <f t="array" ref="K38">IF(ISBLANK($A38),"",_xlfn._xlws.FILTER(Score_Sheet!$AA:$AI,(Score_Sheet!$L:$L=Sheet1!$B$1)*(Score_Sheet!$A:$A=Sheet1!$A38),"NA"))</f>
        <v/>
      </c>
      <c r="L38" s="21"/>
      <c r="M38" s="21"/>
      <c r="N38" s="21"/>
      <c r="O38" s="21"/>
      <c r="P38" s="21"/>
      <c r="Q38" s="21"/>
      <c r="R38" s="13"/>
      <c r="S38" s="13"/>
    </row>
    <row r="39" spans="1:19" s="3" customFormat="1" ht="40.25" customHeight="1">
      <c r="A39" s="25"/>
      <c r="B39" s="25"/>
      <c r="C39" s="14" t="str">
        <f t="shared" si="1"/>
        <v/>
      </c>
      <c r="D39" s="14"/>
      <c r="E39" s="18" t="str" cm="1">
        <f t="array" ref="E39">IF(ISBLANK($A39),"",_xlfn._xlws.FILTER(Score_Sheet!$F:$K,(Score_Sheet!$L:$L=Sheet1!$B$1)*(Score_Sheet!$A:$A=Sheet1!$A39),"NA"))</f>
        <v/>
      </c>
      <c r="F39" s="36"/>
      <c r="G39" s="39"/>
      <c r="H39" s="17"/>
      <c r="I39" s="22"/>
      <c r="J39" s="20"/>
      <c r="K39" s="21" t="str" cm="1">
        <f t="array" ref="K39">IF(ISBLANK($A39),"",_xlfn._xlws.FILTER(Score_Sheet!$AA:$AI,(Score_Sheet!$L:$L=Sheet1!$B$1)*(Score_Sheet!$A:$A=Sheet1!$A39),"NA"))</f>
        <v/>
      </c>
      <c r="L39" s="21"/>
      <c r="M39" s="21"/>
      <c r="N39" s="21"/>
      <c r="O39" s="21"/>
      <c r="P39" s="21"/>
      <c r="Q39" s="21"/>
      <c r="R39" s="13"/>
      <c r="S39" s="13"/>
    </row>
    <row r="40" spans="1:19" s="3" customFormat="1" ht="40.25" customHeight="1">
      <c r="A40" s="25"/>
      <c r="B40" s="25"/>
      <c r="C40" s="14" t="str">
        <f t="shared" si="1"/>
        <v/>
      </c>
      <c r="D40" s="14"/>
      <c r="E40" s="18" t="str" cm="1">
        <f t="array" ref="E40">IF(ISBLANK($A40),"",_xlfn._xlws.FILTER(Score_Sheet!$F:$K,(Score_Sheet!$L:$L=Sheet1!$B$1)*(Score_Sheet!$A:$A=Sheet1!$A40),"NA"))</f>
        <v/>
      </c>
      <c r="F40" s="36"/>
      <c r="G40" s="39"/>
      <c r="H40" s="17"/>
      <c r="I40" s="22"/>
      <c r="J40" s="20"/>
      <c r="K40" s="21" t="str" cm="1">
        <f t="array" ref="K40">IF(ISBLANK($A40),"",_xlfn._xlws.FILTER(Score_Sheet!$AA:$AI,(Score_Sheet!$L:$L=Sheet1!$B$1)*(Score_Sheet!$A:$A=Sheet1!$A40),"NA"))</f>
        <v/>
      </c>
      <c r="L40" s="21"/>
      <c r="M40" s="21"/>
      <c r="N40" s="21"/>
      <c r="O40" s="21"/>
      <c r="P40" s="21"/>
      <c r="Q40" s="21"/>
      <c r="R40" s="13"/>
      <c r="S40" s="13"/>
    </row>
    <row r="41" spans="1:19" s="3" customFormat="1" ht="40.25" customHeight="1">
      <c r="A41" s="25"/>
      <c r="B41" s="25"/>
      <c r="C41" s="14" t="str">
        <f t="shared" si="1"/>
        <v/>
      </c>
      <c r="D41" s="14"/>
      <c r="E41" s="18" t="str" cm="1">
        <f t="array" ref="E41">IF(ISBLANK($A41),"",_xlfn._xlws.FILTER(Score_Sheet!$F:$K,(Score_Sheet!$L:$L=Sheet1!$B$1)*(Score_Sheet!$A:$A=Sheet1!$A41),"NA"))</f>
        <v/>
      </c>
      <c r="F41" s="36"/>
      <c r="G41" s="39"/>
      <c r="H41" s="17"/>
      <c r="I41" s="22"/>
      <c r="J41" s="20"/>
      <c r="K41" s="21" t="str" cm="1">
        <f t="array" ref="K41">IF(ISBLANK($A41),"",_xlfn._xlws.FILTER(Score_Sheet!$AA:$AI,(Score_Sheet!$L:$L=Sheet1!$B$1)*(Score_Sheet!$A:$A=Sheet1!$A41),"NA"))</f>
        <v/>
      </c>
      <c r="L41" s="21"/>
      <c r="M41" s="21"/>
      <c r="N41" s="21"/>
      <c r="O41" s="21"/>
      <c r="P41" s="21"/>
      <c r="Q41" s="21"/>
      <c r="R41" s="13"/>
      <c r="S41" s="13"/>
    </row>
    <row r="42" spans="1:19" s="3" customFormat="1" ht="40.25" customHeight="1">
      <c r="A42" s="25"/>
      <c r="B42" s="25"/>
      <c r="C42" s="14" t="str">
        <f t="shared" si="1"/>
        <v/>
      </c>
      <c r="D42" s="14"/>
      <c r="E42" s="18" t="str" cm="1">
        <f t="array" ref="E42">IF(ISBLANK($A42),"",_xlfn._xlws.FILTER(Score_Sheet!$F:$K,(Score_Sheet!$L:$L=Sheet1!$B$1)*(Score_Sheet!$A:$A=Sheet1!$A42),"NA"))</f>
        <v/>
      </c>
      <c r="F42" s="36"/>
      <c r="G42" s="39"/>
      <c r="H42" s="17"/>
      <c r="I42" s="22"/>
      <c r="J42" s="20"/>
      <c r="K42" s="21" t="str" cm="1">
        <f t="array" ref="K42">IF(ISBLANK($A42),"",_xlfn._xlws.FILTER(Score_Sheet!$AA:$AI,(Score_Sheet!$L:$L=Sheet1!$B$1)*(Score_Sheet!$A:$A=Sheet1!$A42),"NA"))</f>
        <v/>
      </c>
      <c r="L42" s="21"/>
      <c r="M42" s="21"/>
      <c r="N42" s="21"/>
      <c r="O42" s="21"/>
      <c r="P42" s="21"/>
      <c r="Q42" s="21"/>
      <c r="R42" s="13"/>
      <c r="S42" s="13"/>
    </row>
    <row r="43" spans="1:19" s="3" customFormat="1" ht="40.25" customHeight="1">
      <c r="A43" s="25"/>
      <c r="B43" s="25"/>
      <c r="C43" s="14" t="str">
        <f t="shared" si="1"/>
        <v/>
      </c>
      <c r="D43" s="14"/>
      <c r="E43" s="18" t="str" cm="1">
        <f t="array" ref="E43">IF(ISBLANK($A43),"",_xlfn._xlws.FILTER(Score_Sheet!$F:$K,(Score_Sheet!$L:$L=Sheet1!$B$1)*(Score_Sheet!$A:$A=Sheet1!$A43),"NA"))</f>
        <v/>
      </c>
      <c r="F43" s="36"/>
      <c r="G43" s="39"/>
      <c r="H43" s="17"/>
      <c r="I43" s="22"/>
      <c r="J43" s="20"/>
      <c r="K43" s="21" t="str" cm="1">
        <f t="array" ref="K43">IF(ISBLANK($A43),"",_xlfn._xlws.FILTER(Score_Sheet!$AA:$AI,(Score_Sheet!$L:$L=Sheet1!$B$1)*(Score_Sheet!$A:$A=Sheet1!$A43),"NA"))</f>
        <v/>
      </c>
      <c r="L43" s="21"/>
      <c r="M43" s="21"/>
      <c r="N43" s="21"/>
      <c r="O43" s="21"/>
      <c r="P43" s="21"/>
      <c r="Q43" s="21"/>
      <c r="R43" s="13"/>
      <c r="S43" s="13"/>
    </row>
    <row r="44" spans="1:19" s="3" customFormat="1" ht="40.25" customHeight="1">
      <c r="A44" s="25"/>
      <c r="B44" s="25"/>
      <c r="C44" s="14" t="str">
        <f t="shared" si="1"/>
        <v/>
      </c>
      <c r="D44" s="14"/>
      <c r="E44" s="18" t="str" cm="1">
        <f t="array" ref="E44">IF(ISBLANK($A44),"",_xlfn._xlws.FILTER(Score_Sheet!$F:$K,(Score_Sheet!$L:$L=Sheet1!$B$1)*(Score_Sheet!$A:$A=Sheet1!$A44),"NA"))</f>
        <v/>
      </c>
      <c r="F44" s="36"/>
      <c r="G44" s="39"/>
      <c r="H44" s="17"/>
      <c r="I44" s="22"/>
      <c r="J44" s="20"/>
      <c r="K44" s="21" t="str" cm="1">
        <f t="array" ref="K44">IF(ISBLANK($A44),"",_xlfn._xlws.FILTER(Score_Sheet!$AA:$AI,(Score_Sheet!$L:$L=Sheet1!$B$1)*(Score_Sheet!$A:$A=Sheet1!$A44),"NA"))</f>
        <v/>
      </c>
      <c r="L44" s="21"/>
      <c r="M44" s="21"/>
      <c r="N44" s="21"/>
      <c r="O44" s="21"/>
      <c r="P44" s="21"/>
      <c r="Q44" s="21"/>
      <c r="R44" s="13"/>
      <c r="S44" s="13"/>
    </row>
    <row r="45" spans="1:19" s="3" customFormat="1" ht="40.25" customHeight="1">
      <c r="A45" s="25"/>
      <c r="B45" s="25"/>
      <c r="C45" s="14" t="str">
        <f t="shared" si="1"/>
        <v/>
      </c>
      <c r="D45" s="14"/>
      <c r="E45" s="18" t="str" cm="1">
        <f t="array" ref="E45">IF(ISBLANK($A45),"",_xlfn._xlws.FILTER(Score_Sheet!$F:$K,(Score_Sheet!$L:$L=Sheet1!$B$1)*(Score_Sheet!$A:$A=Sheet1!$A45),"NA"))</f>
        <v/>
      </c>
      <c r="F45" s="36"/>
      <c r="G45" s="39"/>
      <c r="H45" s="17"/>
      <c r="I45" s="22"/>
      <c r="J45" s="20"/>
      <c r="K45" s="21" t="str" cm="1">
        <f t="array" ref="K45">IF(ISBLANK($A45),"",_xlfn._xlws.FILTER(Score_Sheet!$AA:$AI,(Score_Sheet!$L:$L=Sheet1!$B$1)*(Score_Sheet!$A:$A=Sheet1!$A45),"NA"))</f>
        <v/>
      </c>
      <c r="L45" s="21"/>
      <c r="M45" s="21"/>
      <c r="N45" s="21"/>
      <c r="O45" s="21"/>
      <c r="P45" s="21"/>
      <c r="Q45" s="21"/>
      <c r="R45" s="13"/>
      <c r="S45" s="13"/>
    </row>
    <row r="46" spans="1:19" s="3" customFormat="1" ht="40.25" customHeight="1">
      <c r="A46" s="25"/>
      <c r="B46" s="25"/>
      <c r="C46" s="14" t="str">
        <f t="shared" si="1"/>
        <v/>
      </c>
      <c r="D46" s="14"/>
      <c r="E46" s="18" t="str" cm="1">
        <f t="array" ref="E46">IF(ISBLANK($A46),"",_xlfn._xlws.FILTER(Score_Sheet!$F:$K,(Score_Sheet!$L:$L=Sheet1!$B$1)*(Score_Sheet!$A:$A=Sheet1!$A46),"NA"))</f>
        <v/>
      </c>
      <c r="F46" s="36"/>
      <c r="G46" s="39"/>
      <c r="H46" s="17"/>
      <c r="I46" s="22"/>
      <c r="J46" s="20"/>
      <c r="K46" s="21" t="str" cm="1">
        <f t="array" ref="K46">IF(ISBLANK($A46),"",_xlfn._xlws.FILTER(Score_Sheet!$AA:$AI,(Score_Sheet!$L:$L=Sheet1!$B$1)*(Score_Sheet!$A:$A=Sheet1!$A46),"NA"))</f>
        <v/>
      </c>
      <c r="L46" s="21"/>
      <c r="M46" s="21"/>
      <c r="N46" s="21"/>
      <c r="O46" s="21"/>
      <c r="P46" s="21"/>
      <c r="Q46" s="21"/>
      <c r="R46" s="13"/>
      <c r="S46" s="13"/>
    </row>
    <row r="47" spans="1:19" s="3" customFormat="1" ht="40.25" customHeight="1">
      <c r="A47" s="25"/>
      <c r="B47" s="25"/>
      <c r="C47" s="14" t="str">
        <f t="shared" si="1"/>
        <v/>
      </c>
      <c r="D47" s="14"/>
      <c r="E47" s="18" t="str" cm="1">
        <f t="array" ref="E47">IF(ISBLANK($A47),"",_xlfn._xlws.FILTER(Score_Sheet!$F:$K,(Score_Sheet!$L:$L=Sheet1!$B$1)*(Score_Sheet!$A:$A=Sheet1!$A47),"NA"))</f>
        <v/>
      </c>
      <c r="F47" s="36"/>
      <c r="G47" s="39"/>
      <c r="H47" s="17"/>
      <c r="I47" s="22"/>
      <c r="J47" s="20"/>
      <c r="K47" s="21" t="str" cm="1">
        <f t="array" ref="K47">IF(ISBLANK($A47),"",_xlfn._xlws.FILTER(Score_Sheet!$AA:$AI,(Score_Sheet!$L:$L=Sheet1!$B$1)*(Score_Sheet!$A:$A=Sheet1!$A47),"NA"))</f>
        <v/>
      </c>
      <c r="L47" s="21"/>
      <c r="M47" s="21"/>
      <c r="N47" s="21"/>
      <c r="O47" s="21"/>
      <c r="P47" s="21"/>
      <c r="Q47" s="21"/>
      <c r="R47" s="13"/>
      <c r="S47" s="13"/>
    </row>
    <row r="48" spans="1:19" ht="40.25" customHeight="1">
      <c r="A48" s="25"/>
      <c r="B48" s="25"/>
      <c r="C48" s="34"/>
      <c r="D48" s="38"/>
      <c r="E48" s="35" t="str" cm="1">
        <f t="array" ref="E48">IF(ISBLANK($A48),"",_xlfn._xlws.FILTER(Score_Sheet!$F:$K,(Score_Sheet!$L:$L=Sheet1!$B$1)*(Score_Sheet!$A:$A=Sheet1!$A48),"NA"))</f>
        <v/>
      </c>
      <c r="F48" s="36"/>
      <c r="G48" s="37"/>
      <c r="H48" s="17"/>
      <c r="I48" s="37"/>
      <c r="J48" s="37"/>
      <c r="K48" s="37" t="str" cm="1">
        <f t="array" ref="K48">IF(ISBLANK($A48),"",_xlfn._xlws.FILTER(Score_Sheet!$AA:$AI,(Score_Sheet!$L:$L=Sheet1!$B$1)*(Score_Sheet!$A:$A=Sheet1!$A48),"NA"))</f>
        <v/>
      </c>
      <c r="L48" s="37"/>
      <c r="M48" s="37"/>
      <c r="N48" s="37"/>
      <c r="O48" s="37"/>
      <c r="P48" s="37"/>
      <c r="Q48" s="37"/>
    </row>
    <row r="49" spans="5:11" ht="20" customHeight="1">
      <c r="E49" s="11" t="str" cm="1">
        <f t="array" ref="E49">IF(ISBLANK($A49),"",_xlfn._xlws.FILTER(Score_Sheet!$F:$K,(Score_Sheet!$L:$L=Sheet1!$B$1)*(Score_Sheet!$A:$A=Sheet1!$A49),"NA"))</f>
        <v/>
      </c>
      <c r="F49" s="11"/>
      <c r="G49" s="11"/>
      <c r="H49" s="11"/>
      <c r="I49" s="11"/>
      <c r="J49" s="10"/>
      <c r="K49" s="9" t="str" cm="1">
        <f t="array" ref="K49">IF(ISBLANK($A49),"",_xlfn._xlws.FILTER(Score_Sheet!$AA:$AI,(Score_Sheet!$L:$L=Sheet1!$B$1)*(Score_Sheet!$A:$A=Sheet1!$A49),"NA"))</f>
        <v/>
      </c>
    </row>
    <row r="50" spans="5:11" ht="20" customHeight="1">
      <c r="E50" s="11" t="str" cm="1">
        <f t="array" ref="E50">IF(ISBLANK($A50),"",_xlfn._xlws.FILTER(Score_Sheet!$F:$K,(Score_Sheet!$L:$L=Sheet1!$B$1)*(Score_Sheet!$A:$A=Sheet1!$A50),"NA"))</f>
        <v/>
      </c>
      <c r="F50" s="11"/>
      <c r="G50" s="11"/>
      <c r="H50" s="11"/>
      <c r="I50" s="11"/>
      <c r="J50" s="10"/>
      <c r="K50" s="9" t="str" cm="1">
        <f t="array" ref="K50">IF(ISBLANK($A50),"",_xlfn._xlws.FILTER(Score_Sheet!$AA:$AI,(Score_Sheet!$L:$L=Sheet1!$B$1)*(Score_Sheet!$A:$A=Sheet1!$A50),"NA"))</f>
        <v/>
      </c>
    </row>
    <row r="51" spans="5:11" ht="20" customHeight="1">
      <c r="E51" s="11" t="str" cm="1">
        <f t="array" ref="E51">IF(ISBLANK($A51),"",_xlfn._xlws.FILTER(Score_Sheet!$F:$K,(Score_Sheet!$L:$L=Sheet1!$B$1)*(Score_Sheet!$A:$A=Sheet1!$A51),"NA"))</f>
        <v/>
      </c>
      <c r="F51" s="11"/>
      <c r="G51" s="11"/>
      <c r="H51" s="11"/>
      <c r="I51" s="11"/>
      <c r="J51" s="10"/>
      <c r="K51" s="9" t="str" cm="1">
        <f t="array" ref="K51">IF(ISBLANK($A51),"",_xlfn._xlws.FILTER(Score_Sheet!$AA:$AI,(Score_Sheet!$L:$L=Sheet1!$B$1)*(Score_Sheet!$A:$A=Sheet1!$A51),"NA"))</f>
        <v/>
      </c>
    </row>
    <row r="52" spans="5:11" ht="20" customHeight="1">
      <c r="E52" s="11" t="str" cm="1">
        <f t="array" ref="E52">IF(ISBLANK($A52),"",_xlfn._xlws.FILTER(Score_Sheet!$F:$K,(Score_Sheet!$L:$L=Sheet1!$B$1)*(Score_Sheet!$A:$A=Sheet1!$A52),"NA"))</f>
        <v/>
      </c>
      <c r="F52" s="11"/>
      <c r="G52" s="11"/>
      <c r="H52" s="11"/>
      <c r="I52" s="11"/>
      <c r="J52" s="10"/>
      <c r="K52" s="9" t="str" cm="1">
        <f t="array" ref="K52">IF(ISBLANK($A52),"",_xlfn._xlws.FILTER(Score_Sheet!$AA:$AI,(Score_Sheet!$L:$L=Sheet1!$B$1)*(Score_Sheet!$A:$A=Sheet1!$A52),"NA"))</f>
        <v/>
      </c>
    </row>
    <row r="53" spans="5:11" ht="20" customHeight="1">
      <c r="E53" s="11" t="str" cm="1">
        <f t="array" ref="E53">IF(ISBLANK($A53),"",_xlfn._xlws.FILTER(Score_Sheet!$F:$K,(Score_Sheet!$L:$L=Sheet1!$B$1)*(Score_Sheet!$A:$A=Sheet1!$A53),"NA"))</f>
        <v/>
      </c>
      <c r="F53" s="11"/>
      <c r="G53" s="11"/>
      <c r="H53" s="11"/>
      <c r="I53" s="11"/>
      <c r="J53" s="10"/>
      <c r="K53" s="9" t="str" cm="1">
        <f t="array" ref="K53">IF(ISBLANK($A53),"",_xlfn._xlws.FILTER(Score_Sheet!$AA:$AI,(Score_Sheet!$L:$L=Sheet1!$B$1)*(Score_Sheet!$A:$A=Sheet1!$A53),"NA"))</f>
        <v/>
      </c>
    </row>
    <row r="54" spans="5:11" ht="20" customHeight="1">
      <c r="E54" s="11" t="str" cm="1">
        <f t="array" ref="E54">IF(ISBLANK($A54),"",_xlfn._xlws.FILTER(Score_Sheet!$F:$K,(Score_Sheet!$L:$L=Sheet1!$B$1)*(Score_Sheet!$A:$A=Sheet1!$A54),"NA"))</f>
        <v/>
      </c>
      <c r="F54" s="11"/>
      <c r="G54" s="11"/>
      <c r="H54" s="11"/>
      <c r="I54" s="11"/>
      <c r="J54" s="10"/>
      <c r="K54" s="9" t="str" cm="1">
        <f t="array" ref="K54">IF(ISBLANK($A54),"",_xlfn._xlws.FILTER(Score_Sheet!$AA:$AI,(Score_Sheet!$L:$L=Sheet1!$B$1)*(Score_Sheet!$A:$A=Sheet1!$A54),"NA"))</f>
        <v/>
      </c>
    </row>
    <row r="55" spans="5:11" ht="20" customHeight="1">
      <c r="E55" s="11" t="str" cm="1">
        <f t="array" ref="E55">IF(ISBLANK($A55),"",_xlfn._xlws.FILTER(Score_Sheet!$F:$K,(Score_Sheet!$L:$L=Sheet1!$B$1)*(Score_Sheet!$A:$A=Sheet1!$A55),"NA"))</f>
        <v/>
      </c>
      <c r="F55" s="11"/>
      <c r="G55" s="11"/>
      <c r="H55" s="11"/>
      <c r="I55" s="11"/>
      <c r="J55" s="10"/>
      <c r="K55" s="9" t="str" cm="1">
        <f t="array" ref="K55">IF(ISBLANK($A55),"",_xlfn._xlws.FILTER(Score_Sheet!$AA:$AI,(Score_Sheet!$L:$L=Sheet1!$B$1)*(Score_Sheet!$A:$A=Sheet1!$A55),"NA"))</f>
        <v/>
      </c>
    </row>
    <row r="56" spans="5:11" ht="20" customHeight="1">
      <c r="E56" s="11" t="str" cm="1">
        <f t="array" ref="E56">IF(ISBLANK($A56),"",_xlfn._xlws.FILTER(Score_Sheet!$F:$K,(Score_Sheet!$L:$L=Sheet1!$B$1)*(Score_Sheet!$A:$A=Sheet1!$A56),"NA"))</f>
        <v/>
      </c>
      <c r="F56" s="11"/>
      <c r="G56" s="11"/>
      <c r="H56" s="11"/>
      <c r="I56" s="11"/>
      <c r="J56" s="10"/>
      <c r="K56" s="9" t="str" cm="1">
        <f t="array" ref="K56">IF(ISBLANK($A56),"",_xlfn._xlws.FILTER(Score_Sheet!$AA:$AI,(Score_Sheet!$L:$L=Sheet1!$B$1)*(Score_Sheet!$A:$A=Sheet1!$A56),"NA"))</f>
        <v/>
      </c>
    </row>
    <row r="57" spans="5:11" ht="20" customHeight="1">
      <c r="E57" s="11" t="str" cm="1">
        <f t="array" ref="E57">IF(ISBLANK($A57),"",_xlfn._xlws.FILTER(Score_Sheet!$F:$K,(Score_Sheet!$L:$L=Sheet1!$B$1)*(Score_Sheet!$A:$A=Sheet1!$A57),"NA"))</f>
        <v/>
      </c>
      <c r="F57" s="11"/>
      <c r="G57" s="11"/>
      <c r="H57" s="11"/>
      <c r="I57" s="11"/>
      <c r="J57" s="10"/>
      <c r="K57" s="9" t="str" cm="1">
        <f t="array" ref="K57">IF(ISBLANK($A57),"",_xlfn._xlws.FILTER(Score_Sheet!$AA:$AI,(Score_Sheet!$L:$L=Sheet1!$B$1)*(Score_Sheet!$A:$A=Sheet1!$A57),"NA"))</f>
        <v/>
      </c>
    </row>
    <row r="58" spans="5:11" ht="20" customHeight="1">
      <c r="E58" s="11" t="str" cm="1">
        <f t="array" ref="E58">IF(ISBLANK($A58),"",_xlfn._xlws.FILTER(Score_Sheet!$F:$K,(Score_Sheet!$L:$L=Sheet1!$B$1)*(Score_Sheet!$A:$A=Sheet1!$A58),"NA"))</f>
        <v/>
      </c>
      <c r="F58" s="11"/>
      <c r="G58" s="11"/>
      <c r="H58" s="11"/>
      <c r="I58" s="11"/>
      <c r="J58" s="10"/>
      <c r="K58" s="9" t="str" cm="1">
        <f t="array" ref="K58">IF(ISBLANK($A58),"",_xlfn._xlws.FILTER(Score_Sheet!$AA:$AI,(Score_Sheet!$L:$L=Sheet1!$B$1)*(Score_Sheet!$A:$A=Sheet1!$A58),"NA"))</f>
        <v/>
      </c>
    </row>
    <row r="59" spans="5:11" ht="20" customHeight="1">
      <c r="E59" s="11" t="str" cm="1">
        <f t="array" ref="E59">IF(ISBLANK($A59),"",_xlfn._xlws.FILTER(Score_Sheet!$F:$K,(Score_Sheet!$L:$L=Sheet1!$B$1)*(Score_Sheet!$A:$A=Sheet1!$A59),"NA"))</f>
        <v/>
      </c>
      <c r="F59" s="11"/>
      <c r="G59" s="11"/>
      <c r="H59" s="11"/>
      <c r="I59" s="11"/>
      <c r="J59" s="10"/>
      <c r="K59" s="9" t="str" cm="1">
        <f t="array" ref="K59">IF(ISBLANK($A59),"",_xlfn._xlws.FILTER(Score_Sheet!$AA:$AI,(Score_Sheet!$L:$L=Sheet1!$B$1)*(Score_Sheet!$A:$A=Sheet1!$A59),"NA"))</f>
        <v/>
      </c>
    </row>
    <row r="60" spans="5:11" ht="20" customHeight="1">
      <c r="E60" s="11" t="str" cm="1">
        <f t="array" ref="E60">IF(ISBLANK($A60),"",_xlfn._xlws.FILTER(Score_Sheet!$F:$K,(Score_Sheet!$L:$L=Sheet1!$B$1)*(Score_Sheet!$A:$A=Sheet1!$A60),"NA"))</f>
        <v/>
      </c>
      <c r="F60" s="11"/>
      <c r="G60" s="11"/>
      <c r="H60" s="11"/>
      <c r="I60" s="11"/>
      <c r="J60" s="10"/>
      <c r="K60" s="9" t="str" cm="1">
        <f t="array" ref="K60">IF(ISBLANK($A60),"",_xlfn._xlws.FILTER(Score_Sheet!$AA:$AI,(Score_Sheet!$L:$L=Sheet1!$B$1)*(Score_Sheet!$A:$A=Sheet1!$A60),"NA"))</f>
        <v/>
      </c>
    </row>
    <row r="61" spans="5:11" ht="20" customHeight="1">
      <c r="E61" s="11" t="str" cm="1">
        <f t="array" ref="E61">IF(ISBLANK($A61),"",_xlfn._xlws.FILTER(Score_Sheet!$F:$K,(Score_Sheet!$L:$L=Sheet1!$B$1)*(Score_Sheet!$A:$A=Sheet1!$A61),"NA"))</f>
        <v/>
      </c>
      <c r="F61" s="11"/>
      <c r="G61" s="11"/>
      <c r="H61" s="11"/>
      <c r="I61" s="11"/>
      <c r="J61" s="10"/>
      <c r="K61" s="9" t="str" cm="1">
        <f t="array" ref="K61">IF(ISBLANK($A61),"",_xlfn._xlws.FILTER(Score_Sheet!$AA:$AI,(Score_Sheet!$L:$L=Sheet1!$B$1)*(Score_Sheet!$A:$A=Sheet1!$A61),"NA"))</f>
        <v/>
      </c>
    </row>
    <row r="62" spans="5:11" ht="20" customHeight="1">
      <c r="E62" s="11" t="str" cm="1">
        <f t="array" ref="E62">IF(ISBLANK($A62),"",_xlfn._xlws.FILTER(Score_Sheet!$F:$K,(Score_Sheet!$L:$L=Sheet1!$B$1)*(Score_Sheet!$A:$A=Sheet1!$A62),"NA"))</f>
        <v/>
      </c>
      <c r="F62" s="11"/>
      <c r="G62" s="11"/>
      <c r="H62" s="11"/>
      <c r="I62" s="11"/>
      <c r="J62" s="10"/>
      <c r="K62" s="9" t="str" cm="1">
        <f t="array" ref="K62">IF(ISBLANK($A62),"",_xlfn._xlws.FILTER(Score_Sheet!$AA:$AI,(Score_Sheet!$L:$L=Sheet1!$B$1)*(Score_Sheet!$A:$A=Sheet1!$A62),"NA"))</f>
        <v/>
      </c>
    </row>
    <row r="63" spans="5:11" ht="20" customHeight="1">
      <c r="E63" s="11" t="str" cm="1">
        <f t="array" ref="E63">IF(ISBLANK($A63),"",_xlfn._xlws.FILTER(Score_Sheet!$F:$K,(Score_Sheet!$L:$L=Sheet1!$B$1)*(Score_Sheet!$A:$A=Sheet1!$A63),"NA"))</f>
        <v/>
      </c>
      <c r="F63" s="11"/>
      <c r="G63" s="11"/>
      <c r="H63" s="11"/>
      <c r="I63" s="11"/>
      <c r="J63" s="10"/>
      <c r="K63" s="9" t="str" cm="1">
        <f t="array" ref="K63">IF(ISBLANK($A63),"",_xlfn._xlws.FILTER(Score_Sheet!$AA:$AI,(Score_Sheet!$L:$L=Sheet1!$B$1)*(Score_Sheet!$A:$A=Sheet1!$A63),"NA"))</f>
        <v/>
      </c>
    </row>
    <row r="64" spans="5:11" ht="20" customHeight="1">
      <c r="E64" s="11" t="str" cm="1">
        <f t="array" ref="E64">IF(ISBLANK($A64),"",_xlfn._xlws.FILTER(Score_Sheet!$F:$K,(Score_Sheet!$L:$L=Sheet1!$B$1)*(Score_Sheet!$A:$A=Sheet1!$A64),"NA"))</f>
        <v/>
      </c>
      <c r="F64" s="11"/>
      <c r="G64" s="11"/>
      <c r="H64" s="11"/>
      <c r="I64" s="11"/>
      <c r="J64" s="10"/>
      <c r="K64" s="9" t="str" cm="1">
        <f t="array" ref="K64">IF(ISBLANK($A64),"",_xlfn._xlws.FILTER(Score_Sheet!$AA:$AI,(Score_Sheet!$L:$L=Sheet1!$B$1)*(Score_Sheet!$A:$A=Sheet1!$A64),"NA"))</f>
        <v/>
      </c>
    </row>
    <row r="65" spans="5:11" ht="20" customHeight="1">
      <c r="E65" s="11" t="str" cm="1">
        <f t="array" ref="E65">IF(ISBLANK($A65),"",_xlfn._xlws.FILTER(Score_Sheet!$F:$K,(Score_Sheet!$L:$L=Sheet1!$B$1)*(Score_Sheet!$A:$A=Sheet1!$A65),"NA"))</f>
        <v/>
      </c>
      <c r="F65" s="11"/>
      <c r="G65" s="11"/>
      <c r="H65" s="11"/>
      <c r="I65" s="11"/>
      <c r="J65" s="10"/>
      <c r="K65" s="9" t="str" cm="1">
        <f t="array" ref="K65">IF(ISBLANK($A65),"",_xlfn._xlws.FILTER(Score_Sheet!$AA:$AI,(Score_Sheet!$L:$L=Sheet1!$B$1)*(Score_Sheet!$A:$A=Sheet1!$A65),"NA"))</f>
        <v/>
      </c>
    </row>
    <row r="66" spans="5:11" ht="20" customHeight="1">
      <c r="E66" s="11" t="str" cm="1">
        <f t="array" ref="E66">IF(ISBLANK($A66),"",_xlfn._xlws.FILTER(Score_Sheet!$F:$K,(Score_Sheet!$L:$L=Sheet1!$B$1)*(Score_Sheet!$A:$A=Sheet1!$A66),"NA"))</f>
        <v/>
      </c>
      <c r="F66" s="11"/>
      <c r="G66" s="11"/>
      <c r="H66" s="11"/>
      <c r="I66" s="11"/>
      <c r="J66" s="10"/>
      <c r="K66" s="9" t="str" cm="1">
        <f t="array" ref="K66">IF(ISBLANK($A66),"",_xlfn._xlws.FILTER(Score_Sheet!$AA:$AI,(Score_Sheet!$L:$L=Sheet1!$B$1)*(Score_Sheet!$A:$A=Sheet1!$A66),"NA"))</f>
        <v/>
      </c>
    </row>
    <row r="67" spans="5:11" ht="20" customHeight="1">
      <c r="E67" s="11" t="str" cm="1">
        <f t="array" ref="E67">IF(ISBLANK($A67),"",_xlfn._xlws.FILTER(Score_Sheet!$F:$K,(Score_Sheet!$L:$L=Sheet1!$B$1)*(Score_Sheet!$A:$A=Sheet1!$A67),"NA"))</f>
        <v/>
      </c>
      <c r="F67" s="11"/>
      <c r="G67" s="11"/>
      <c r="H67" s="11"/>
      <c r="I67" s="11"/>
      <c r="J67" s="10"/>
      <c r="K67" s="9" t="str" cm="1">
        <f t="array" ref="K67">IF(ISBLANK($A67),"",_xlfn._xlws.FILTER(Score_Sheet!$AA:$AI,(Score_Sheet!$L:$L=Sheet1!$B$1)*(Score_Sheet!$A:$A=Sheet1!$A67),"NA"))</f>
        <v/>
      </c>
    </row>
    <row r="68" spans="5:11" ht="20" customHeight="1">
      <c r="E68" s="11" t="str" cm="1">
        <f t="array" ref="E68">IF(ISBLANK($A68),"",_xlfn._xlws.FILTER(Score_Sheet!$F:$K,(Score_Sheet!$L:$L=Sheet1!$B$1)*(Score_Sheet!$A:$A=Sheet1!$A68),"NA"))</f>
        <v/>
      </c>
      <c r="F68" s="11"/>
      <c r="G68" s="11"/>
      <c r="H68" s="11"/>
      <c r="I68" s="11"/>
      <c r="J68" s="10"/>
      <c r="K68" s="9" t="str" cm="1">
        <f t="array" ref="K68">IF(ISBLANK($A68),"",_xlfn._xlws.FILTER(Score_Sheet!$AA:$AI,(Score_Sheet!$L:$L=Sheet1!$B$1)*(Score_Sheet!$A:$A=Sheet1!$A68),"NA"))</f>
        <v/>
      </c>
    </row>
    <row r="69" spans="5:11" ht="20" customHeight="1">
      <c r="E69" s="11" t="str" cm="1">
        <f t="array" ref="E69">IF(ISBLANK($A69),"",_xlfn._xlws.FILTER(Score_Sheet!$F:$K,(Score_Sheet!$L:$L=Sheet1!$B$1)*(Score_Sheet!$A:$A=Sheet1!$A69),"NA"))</f>
        <v/>
      </c>
      <c r="F69" s="11"/>
      <c r="G69" s="11"/>
      <c r="H69" s="11"/>
      <c r="I69" s="11"/>
      <c r="J69" s="10"/>
      <c r="K69" s="9" t="str" cm="1">
        <f t="array" ref="K69">IF(ISBLANK($A69),"",_xlfn._xlws.FILTER(Score_Sheet!$AA:$AI,(Score_Sheet!$L:$L=Sheet1!$B$1)*(Score_Sheet!$A:$A=Sheet1!$A69),"NA"))</f>
        <v/>
      </c>
    </row>
    <row r="70" spans="5:11" ht="20" customHeight="1">
      <c r="E70" s="11" t="str" cm="1">
        <f t="array" ref="E70">IF(ISBLANK($A70),"",_xlfn._xlws.FILTER(Score_Sheet!$F:$K,(Score_Sheet!$L:$L=Sheet1!$B$1)*(Score_Sheet!$A:$A=Sheet1!$A70),"NA"))</f>
        <v/>
      </c>
      <c r="F70" s="11"/>
      <c r="G70" s="11"/>
      <c r="H70" s="11"/>
      <c r="I70" s="11"/>
      <c r="J70" s="10"/>
      <c r="K70" s="9" t="str" cm="1">
        <f t="array" ref="K70">IF(ISBLANK($A70),"",_xlfn._xlws.FILTER(Score_Sheet!$AA:$AI,(Score_Sheet!$L:$L=Sheet1!$B$1)*(Score_Sheet!$A:$A=Sheet1!$A70),"NA"))</f>
        <v/>
      </c>
    </row>
    <row r="71" spans="5:11" ht="20" customHeight="1">
      <c r="E71" s="11" t="str" cm="1">
        <f t="array" ref="E71">IF(ISBLANK($A71),"",_xlfn._xlws.FILTER(Score_Sheet!$F:$K,(Score_Sheet!$L:$L=Sheet1!$B$1)*(Score_Sheet!$A:$A=Sheet1!$A71),"NA"))</f>
        <v/>
      </c>
      <c r="F71" s="11"/>
      <c r="G71" s="11"/>
      <c r="H71" s="11"/>
      <c r="I71" s="11"/>
      <c r="J71" s="10"/>
      <c r="K71" s="9" t="str" cm="1">
        <f t="array" ref="K71">IF(ISBLANK($A71),"",_xlfn._xlws.FILTER(Score_Sheet!$AA:$AI,(Score_Sheet!$L:$L=Sheet1!$B$1)*(Score_Sheet!$A:$A=Sheet1!$A71),"NA"))</f>
        <v/>
      </c>
    </row>
    <row r="72" spans="5:11" ht="20" customHeight="1">
      <c r="E72" s="11" t="str" cm="1">
        <f t="array" ref="E72">IF(ISBLANK($A72),"",_xlfn._xlws.FILTER(Score_Sheet!$F:$K,(Score_Sheet!$L:$L=Sheet1!$B$1)*(Score_Sheet!$A:$A=Sheet1!$A72),"NA"))</f>
        <v/>
      </c>
      <c r="F72" s="11"/>
      <c r="G72" s="11"/>
      <c r="H72" s="11"/>
      <c r="I72" s="11"/>
      <c r="J72" s="10"/>
      <c r="K72" s="9" t="str" cm="1">
        <f t="array" ref="K72">IF(ISBLANK($A72),"",_xlfn._xlws.FILTER(Score_Sheet!$AA:$AI,(Score_Sheet!$L:$L=Sheet1!$B$1)*(Score_Sheet!$A:$A=Sheet1!$A72),"NA"))</f>
        <v/>
      </c>
    </row>
    <row r="73" spans="5:11" ht="20" customHeight="1">
      <c r="E73" s="11" t="str" cm="1">
        <f t="array" ref="E73">IF(ISBLANK($A73),"",_xlfn._xlws.FILTER(Score_Sheet!$F:$K,(Score_Sheet!$L:$L=Sheet1!$B$1)*(Score_Sheet!$A:$A=Sheet1!$A73),"NA"))</f>
        <v/>
      </c>
      <c r="F73" s="11"/>
      <c r="G73" s="11"/>
      <c r="H73" s="11"/>
      <c r="I73" s="11"/>
      <c r="J73" s="10"/>
      <c r="K73" s="9" t="str" cm="1">
        <f t="array" ref="K73">IF(ISBLANK($A73),"",_xlfn._xlws.FILTER(Score_Sheet!$AA:$AI,(Score_Sheet!$L:$L=Sheet1!$B$1)*(Score_Sheet!$A:$A=Sheet1!$A73),"NA"))</f>
        <v/>
      </c>
    </row>
    <row r="74" spans="5:11" ht="20" customHeight="1">
      <c r="E74" s="11" t="str" cm="1">
        <f t="array" ref="E74">IF(ISBLANK($A74),"",_xlfn._xlws.FILTER(Score_Sheet!$F:$K,(Score_Sheet!$L:$L=Sheet1!$B$1)*(Score_Sheet!$A:$A=Sheet1!$A74),"NA"))</f>
        <v/>
      </c>
      <c r="F74" s="11"/>
      <c r="G74" s="11"/>
      <c r="H74" s="11"/>
      <c r="I74" s="11"/>
      <c r="J74" s="10"/>
      <c r="K74" s="9" t="str" cm="1">
        <f t="array" ref="K74">IF(ISBLANK($A74),"",_xlfn._xlws.FILTER(Score_Sheet!$AA:$AI,(Score_Sheet!$L:$L=Sheet1!$B$1)*(Score_Sheet!$A:$A=Sheet1!$A74),"NA"))</f>
        <v/>
      </c>
    </row>
    <row r="75" spans="5:11" ht="20" customHeight="1">
      <c r="E75" s="11" t="str" cm="1">
        <f t="array" ref="E75">IF(ISBLANK($A75),"",_xlfn._xlws.FILTER(Score_Sheet!$F:$K,(Score_Sheet!$L:$L=Sheet1!$B$1)*(Score_Sheet!$A:$A=Sheet1!$A75),"NA"))</f>
        <v/>
      </c>
      <c r="F75" s="11"/>
      <c r="G75" s="11"/>
      <c r="H75" s="11"/>
      <c r="I75" s="11"/>
      <c r="J75" s="10"/>
      <c r="K75" s="9" t="str" cm="1">
        <f t="array" ref="K75">IF(ISBLANK($A75),"",_xlfn._xlws.FILTER(Score_Sheet!$AA:$AI,(Score_Sheet!$L:$L=Sheet1!$B$1)*(Score_Sheet!$A:$A=Sheet1!$A75),"NA"))</f>
        <v/>
      </c>
    </row>
    <row r="76" spans="5:11" ht="20" customHeight="1">
      <c r="E76" s="11" t="str" cm="1">
        <f t="array" ref="E76">IF(ISBLANK($A76),"",_xlfn._xlws.FILTER(Score_Sheet!$F:$K,(Score_Sheet!$L:$L=Sheet1!$B$1)*(Score_Sheet!$A:$A=Sheet1!$A76),"NA"))</f>
        <v/>
      </c>
      <c r="F76" s="11"/>
      <c r="G76" s="11"/>
      <c r="H76" s="11"/>
      <c r="I76" s="11"/>
      <c r="J76" s="10"/>
      <c r="K76" s="9" t="str" cm="1">
        <f t="array" ref="K76">IF(ISBLANK($A76),"",_xlfn._xlws.FILTER(Score_Sheet!$AA:$AI,(Score_Sheet!$L:$L=Sheet1!$B$1)*(Score_Sheet!$A:$A=Sheet1!$A76),"NA"))</f>
        <v/>
      </c>
    </row>
    <row r="77" spans="5:11" ht="20" customHeight="1">
      <c r="E77" s="11" t="str" cm="1">
        <f t="array" ref="E77">IF(ISBLANK($A77),"",_xlfn._xlws.FILTER(Score_Sheet!$F:$K,(Score_Sheet!$L:$L=Sheet1!$B$1)*(Score_Sheet!$A:$A=Sheet1!$A77),"NA"))</f>
        <v/>
      </c>
      <c r="F77" s="11"/>
      <c r="G77" s="11"/>
      <c r="H77" s="11"/>
      <c r="I77" s="11"/>
      <c r="J77" s="10"/>
      <c r="K77" s="9" t="str" cm="1">
        <f t="array" ref="K77">IF(ISBLANK($A77),"",_xlfn._xlws.FILTER(Score_Sheet!$AA:$AI,(Score_Sheet!$L:$L=Sheet1!$B$1)*(Score_Sheet!$A:$A=Sheet1!$A77),"NA"))</f>
        <v/>
      </c>
    </row>
    <row r="78" spans="5:11" ht="20" customHeight="1">
      <c r="E78" s="11" t="str" cm="1">
        <f t="array" ref="E78">IF(ISBLANK($A78),"",_xlfn._xlws.FILTER(Score_Sheet!$F:$K,(Score_Sheet!$L:$L=Sheet1!$B$1)*(Score_Sheet!$A:$A=Sheet1!$A78),"NA"))</f>
        <v/>
      </c>
      <c r="F78" s="11"/>
      <c r="G78" s="11"/>
      <c r="H78" s="11"/>
      <c r="I78" s="11"/>
      <c r="J78" s="10"/>
      <c r="K78" s="9" t="str" cm="1">
        <f t="array" ref="K78">IF(ISBLANK($A78),"",_xlfn._xlws.FILTER(Score_Sheet!$AA:$AI,(Score_Sheet!$L:$L=Sheet1!$B$1)*(Score_Sheet!$A:$A=Sheet1!$A78),"NA"))</f>
        <v/>
      </c>
    </row>
    <row r="79" spans="5:11" ht="20" customHeight="1">
      <c r="E79" s="11" t="str" cm="1">
        <f t="array" ref="E79">IF(ISBLANK($A79),"",_xlfn._xlws.FILTER(Score_Sheet!$F:$K,(Score_Sheet!$L:$L=Sheet1!$B$1)*(Score_Sheet!$A:$A=Sheet1!$A79),"NA"))</f>
        <v/>
      </c>
      <c r="F79" s="11"/>
      <c r="G79" s="11"/>
      <c r="H79" s="11"/>
      <c r="I79" s="11"/>
      <c r="J79" s="10"/>
      <c r="K79" s="9" t="str" cm="1">
        <f t="array" ref="K79">IF(ISBLANK($A79),"",_xlfn._xlws.FILTER(Score_Sheet!$AA:$AI,(Score_Sheet!$L:$L=Sheet1!$B$1)*(Score_Sheet!$A:$A=Sheet1!$A79),"NA"))</f>
        <v/>
      </c>
    </row>
    <row r="80" spans="5:11" ht="20" customHeight="1">
      <c r="E80" s="11" t="str" cm="1">
        <f t="array" ref="E80">IF(ISBLANK($A80),"",_xlfn._xlws.FILTER(Score_Sheet!$F:$K,(Score_Sheet!$L:$L=Sheet1!$B$1)*(Score_Sheet!$A:$A=Sheet1!$A80),"NA"))</f>
        <v/>
      </c>
      <c r="F80" s="11"/>
      <c r="G80" s="11"/>
      <c r="H80" s="11"/>
      <c r="I80" s="11"/>
      <c r="J80" s="10"/>
      <c r="K80" s="9" t="str" cm="1">
        <f t="array" ref="K80">IF(ISBLANK($A80),"",_xlfn._xlws.FILTER(Score_Sheet!$AA:$AI,(Score_Sheet!$L:$L=Sheet1!$B$1)*(Score_Sheet!$A:$A=Sheet1!$A80),"NA"))</f>
        <v/>
      </c>
    </row>
    <row r="81" spans="5:11" ht="20" customHeight="1">
      <c r="E81" s="11" t="str" cm="1">
        <f t="array" ref="E81">IF(ISBLANK($A81),"",_xlfn._xlws.FILTER(Score_Sheet!$F:$K,(Score_Sheet!$L:$L=Sheet1!$B$1)*(Score_Sheet!$A:$A=Sheet1!$A81),"NA"))</f>
        <v/>
      </c>
      <c r="F81" s="11"/>
      <c r="G81" s="11"/>
      <c r="H81" s="11"/>
      <c r="I81" s="11"/>
      <c r="J81" s="10"/>
      <c r="K81" s="9" t="str" cm="1">
        <f t="array" ref="K81">IF(ISBLANK($A81),"",_xlfn._xlws.FILTER(Score_Sheet!$AA:$AI,(Score_Sheet!$L:$L=Sheet1!$B$1)*(Score_Sheet!$A:$A=Sheet1!$A81),"NA"))</f>
        <v/>
      </c>
    </row>
    <row r="82" spans="5:11" ht="20" customHeight="1">
      <c r="E82" s="11" t="str" cm="1">
        <f t="array" ref="E82">IF(ISBLANK($A82),"",_xlfn._xlws.FILTER(Score_Sheet!$F:$K,(Score_Sheet!$L:$L=Sheet1!$B$1)*(Score_Sheet!$A:$A=Sheet1!$A82),"NA"))</f>
        <v/>
      </c>
      <c r="F82" s="11"/>
      <c r="G82" s="11"/>
      <c r="H82" s="11"/>
      <c r="I82" s="11"/>
      <c r="J82" s="10"/>
      <c r="K82" s="9" t="str" cm="1">
        <f t="array" ref="K82">IF(ISBLANK($A82),"",_xlfn._xlws.FILTER(Score_Sheet!$AA:$AI,(Score_Sheet!$L:$L=Sheet1!$B$1)*(Score_Sheet!$A:$A=Sheet1!$A82),"NA"))</f>
        <v/>
      </c>
    </row>
    <row r="83" spans="5:11" ht="20" customHeight="1">
      <c r="E83" s="11" t="str" cm="1">
        <f t="array" ref="E83">IF(ISBLANK($A83),"",_xlfn._xlws.FILTER(Score_Sheet!$F:$K,(Score_Sheet!$L:$L=Sheet1!$B$1)*(Score_Sheet!$A:$A=Sheet1!$A83),"NA"))</f>
        <v/>
      </c>
      <c r="F83" s="11"/>
      <c r="G83" s="11"/>
      <c r="H83" s="11"/>
      <c r="I83" s="11"/>
      <c r="J83" s="10"/>
      <c r="K83" s="9" t="str" cm="1">
        <f t="array" ref="K83">IF(ISBLANK($A83),"",_xlfn._xlws.FILTER(Score_Sheet!$AA:$AI,(Score_Sheet!$L:$L=Sheet1!$B$1)*(Score_Sheet!$A:$A=Sheet1!$A83),"NA"))</f>
        <v/>
      </c>
    </row>
    <row r="84" spans="5:11" ht="20" customHeight="1">
      <c r="E84" s="11" t="str" cm="1">
        <f t="array" ref="E84">IF(ISBLANK($A84),"",_xlfn._xlws.FILTER(Score_Sheet!$F:$K,(Score_Sheet!$L:$L=Sheet1!$B$1)*(Score_Sheet!$A:$A=Sheet1!$A84),"NA"))</f>
        <v/>
      </c>
      <c r="F84" s="11"/>
      <c r="G84" s="11"/>
      <c r="H84" s="11"/>
      <c r="I84" s="11"/>
      <c r="J84" s="10"/>
      <c r="K84" s="9" t="str" cm="1">
        <f t="array" ref="K84">IF(ISBLANK($A84),"",_xlfn._xlws.FILTER(Score_Sheet!$AA:$AI,(Score_Sheet!$L:$L=Sheet1!$B$1)*(Score_Sheet!$A:$A=Sheet1!$A84),"NA"))</f>
        <v/>
      </c>
    </row>
    <row r="85" spans="5:11" ht="20" customHeight="1">
      <c r="E85" s="11" t="str" cm="1">
        <f t="array" ref="E85">IF(ISBLANK($A85),"",_xlfn._xlws.FILTER(Score_Sheet!$F:$K,(Score_Sheet!$L:$L=Sheet1!$B$1)*(Score_Sheet!$A:$A=Sheet1!$A85),"NA"))</f>
        <v/>
      </c>
      <c r="F85" s="11"/>
      <c r="G85" s="11"/>
      <c r="H85" s="11"/>
      <c r="I85" s="11"/>
      <c r="J85" s="10"/>
      <c r="K85" s="9" t="str" cm="1">
        <f t="array" ref="K85">IF(ISBLANK($A85),"",_xlfn._xlws.FILTER(Score_Sheet!$AA:$AI,(Score_Sheet!$L:$L=Sheet1!$B$1)*(Score_Sheet!$A:$A=Sheet1!$A85),"NA"))</f>
        <v/>
      </c>
    </row>
    <row r="86" spans="5:11" ht="20" customHeight="1">
      <c r="E86" s="11" t="str" cm="1">
        <f t="array" ref="E86">IF(ISBLANK($A86),"",_xlfn._xlws.FILTER(Score_Sheet!$F:$K,(Score_Sheet!$L:$L=Sheet1!$B$1)*(Score_Sheet!$A:$A=Sheet1!$A86),"NA"))</f>
        <v/>
      </c>
      <c r="F86" s="11"/>
      <c r="G86" s="11"/>
      <c r="H86" s="11"/>
      <c r="I86" s="11"/>
      <c r="J86" s="10"/>
      <c r="K86" s="9" t="str" cm="1">
        <f t="array" ref="K86">IF(ISBLANK($A86),"",_xlfn._xlws.FILTER(Score_Sheet!$AA:$AI,(Score_Sheet!$L:$L=Sheet1!$B$1)*(Score_Sheet!$A:$A=Sheet1!$A86),"NA"))</f>
        <v/>
      </c>
    </row>
    <row r="87" spans="5:11" ht="20" customHeight="1">
      <c r="E87" s="11" t="str" cm="1">
        <f t="array" ref="E87">IF(ISBLANK($A87),"",_xlfn._xlws.FILTER(Score_Sheet!$F:$K,(Score_Sheet!$L:$L=Sheet1!$B$1)*(Score_Sheet!$A:$A=Sheet1!$A87),"NA"))</f>
        <v/>
      </c>
      <c r="F87" s="11"/>
      <c r="G87" s="11"/>
      <c r="H87" s="11"/>
      <c r="I87" s="11"/>
      <c r="J87" s="10"/>
      <c r="K87" s="9" t="str" cm="1">
        <f t="array" ref="K87">IF(ISBLANK($A87),"",_xlfn._xlws.FILTER(Score_Sheet!$AA:$AI,(Score_Sheet!$L:$L=Sheet1!$B$1)*(Score_Sheet!$A:$A=Sheet1!$A87),"NA"))</f>
        <v/>
      </c>
    </row>
    <row r="88" spans="5:11" ht="20" customHeight="1">
      <c r="E88" s="11" t="str" cm="1">
        <f t="array" ref="E88">IF(ISBLANK($A88),"",_xlfn._xlws.FILTER(Score_Sheet!$F:$K,(Score_Sheet!$L:$L=Sheet1!$B$1)*(Score_Sheet!$A:$A=Sheet1!$A88),"NA"))</f>
        <v/>
      </c>
      <c r="F88" s="11"/>
      <c r="G88" s="11"/>
      <c r="H88" s="11"/>
      <c r="I88" s="11"/>
      <c r="J88" s="10"/>
      <c r="K88" s="9" t="str" cm="1">
        <f t="array" ref="K88">IF(ISBLANK($A88),"",_xlfn._xlws.FILTER(Score_Sheet!$AA:$AI,(Score_Sheet!$L:$L=Sheet1!$B$1)*(Score_Sheet!$A:$A=Sheet1!$A88),"NA"))</f>
        <v/>
      </c>
    </row>
    <row r="89" spans="5:11" ht="20" customHeight="1">
      <c r="E89" s="11" t="str" cm="1">
        <f t="array" ref="E89">IF(ISBLANK($A89),"",_xlfn._xlws.FILTER(Score_Sheet!$F:$K,(Score_Sheet!$L:$L=Sheet1!$B$1)*(Score_Sheet!$A:$A=Sheet1!$A89),"NA"))</f>
        <v/>
      </c>
      <c r="F89" s="11"/>
      <c r="G89" s="11"/>
      <c r="H89" s="11"/>
      <c r="I89" s="11"/>
      <c r="J89" s="10"/>
      <c r="K89" s="9" t="str" cm="1">
        <f t="array" ref="K89">IF(ISBLANK($A89),"",_xlfn._xlws.FILTER(Score_Sheet!$AA:$AI,(Score_Sheet!$L:$L=Sheet1!$B$1)*(Score_Sheet!$A:$A=Sheet1!$A89),"NA"))</f>
        <v/>
      </c>
    </row>
    <row r="90" spans="5:11" ht="20" customHeight="1">
      <c r="E90" s="11" t="str" cm="1">
        <f t="array" ref="E90">IF(ISBLANK($A90),"",_xlfn._xlws.FILTER(Score_Sheet!$F:$K,(Score_Sheet!$L:$L=Sheet1!$B$1)*(Score_Sheet!$A:$A=Sheet1!$A90),"NA"))</f>
        <v/>
      </c>
      <c r="F90" s="11"/>
      <c r="G90" s="11"/>
      <c r="H90" s="11"/>
      <c r="I90" s="11"/>
      <c r="J90" s="10"/>
      <c r="K90" s="9" t="str" cm="1">
        <f t="array" ref="K90">IF(ISBLANK($A90),"",_xlfn._xlws.FILTER(Score_Sheet!$AA:$AI,(Score_Sheet!$L:$L=Sheet1!$B$1)*(Score_Sheet!$A:$A=Sheet1!$A90),"NA"))</f>
        <v/>
      </c>
    </row>
    <row r="91" spans="5:11" ht="20" customHeight="1">
      <c r="E91" s="11" t="str" cm="1">
        <f t="array" ref="E91">IF(ISBLANK($A91),"",_xlfn._xlws.FILTER(Score_Sheet!$F:$K,(Score_Sheet!$L:$L=Sheet1!$B$1)*(Score_Sheet!$A:$A=Sheet1!$A91),"NA"))</f>
        <v/>
      </c>
      <c r="F91" s="11"/>
      <c r="G91" s="11"/>
      <c r="H91" s="11"/>
      <c r="I91" s="11"/>
      <c r="J91" s="10"/>
      <c r="K91" s="9" t="str" cm="1">
        <f t="array" ref="K91">IF(ISBLANK($A91),"",_xlfn._xlws.FILTER(Score_Sheet!$AA:$AI,(Score_Sheet!$L:$L=Sheet1!$B$1)*(Score_Sheet!$A:$A=Sheet1!$A91),"NA"))</f>
        <v/>
      </c>
    </row>
    <row r="92" spans="5:11" ht="20" customHeight="1">
      <c r="E92" s="11" t="str" cm="1">
        <f t="array" ref="E92">IF(ISBLANK($A92),"",_xlfn._xlws.FILTER(Score_Sheet!$F:$K,(Score_Sheet!$L:$L=Sheet1!$B$1)*(Score_Sheet!$A:$A=Sheet1!$A92),"NA"))</f>
        <v/>
      </c>
      <c r="F92" s="11"/>
      <c r="G92" s="11"/>
      <c r="H92" s="11"/>
      <c r="I92" s="11"/>
      <c r="J92" s="10"/>
      <c r="K92" s="9" t="str" cm="1">
        <f t="array" ref="K92">IF(ISBLANK($A92),"",_xlfn._xlws.FILTER(Score_Sheet!$AA:$AI,(Score_Sheet!$L:$L=Sheet1!$B$1)*(Score_Sheet!$A:$A=Sheet1!$A92),"NA"))</f>
        <v/>
      </c>
    </row>
    <row r="93" spans="5:11" ht="20" customHeight="1">
      <c r="E93" s="11" t="str" cm="1">
        <f t="array" ref="E93">IF(ISBLANK($A93),"",_xlfn._xlws.FILTER(Score_Sheet!$F:$K,(Score_Sheet!$L:$L=Sheet1!$B$1)*(Score_Sheet!$A:$A=Sheet1!$A93),"NA"))</f>
        <v/>
      </c>
      <c r="F93" s="11"/>
      <c r="G93" s="11"/>
      <c r="H93" s="11"/>
      <c r="I93" s="11"/>
      <c r="J93" s="10"/>
      <c r="K93" s="9" t="str" cm="1">
        <f t="array" ref="K93">IF(ISBLANK($A93),"",_xlfn._xlws.FILTER(Score_Sheet!$AA:$AI,(Score_Sheet!$L:$L=Sheet1!$B$1)*(Score_Sheet!$A:$A=Sheet1!$A93),"NA"))</f>
        <v/>
      </c>
    </row>
    <row r="94" spans="5:11" ht="20" customHeight="1">
      <c r="E94" s="11" t="str" cm="1">
        <f t="array" ref="E94">IF(ISBLANK($A94),"",_xlfn._xlws.FILTER(Score_Sheet!$F:$K,(Score_Sheet!$L:$L=Sheet1!$B$1)*(Score_Sheet!$A:$A=Sheet1!$A94),"NA"))</f>
        <v/>
      </c>
      <c r="F94" s="11"/>
      <c r="G94" s="11"/>
      <c r="H94" s="11"/>
      <c r="I94" s="11"/>
      <c r="J94" s="10"/>
      <c r="K94" s="9" t="str" cm="1">
        <f t="array" ref="K94">IF(ISBLANK($A94),"",_xlfn._xlws.FILTER(Score_Sheet!$AA:$AI,(Score_Sheet!$L:$L=Sheet1!$B$1)*(Score_Sheet!$A:$A=Sheet1!$A94),"NA"))</f>
        <v/>
      </c>
    </row>
    <row r="95" spans="5:11" ht="20" customHeight="1">
      <c r="E95" s="11" t="str" cm="1">
        <f t="array" ref="E95">IF(ISBLANK($A95),"",_xlfn._xlws.FILTER(Score_Sheet!$F:$K,(Score_Sheet!$L:$L=Sheet1!$B$1)*(Score_Sheet!$A:$A=Sheet1!$A95),"NA"))</f>
        <v/>
      </c>
      <c r="F95" s="11"/>
      <c r="G95" s="11"/>
      <c r="H95" s="11"/>
      <c r="I95" s="11"/>
      <c r="J95" s="10"/>
      <c r="K95" s="9" t="str" cm="1">
        <f t="array" ref="K95">IF(ISBLANK($A95),"",_xlfn._xlws.FILTER(Score_Sheet!$AA:$AI,(Score_Sheet!$L:$L=Sheet1!$B$1)*(Score_Sheet!$A:$A=Sheet1!$A95),"NA"))</f>
        <v/>
      </c>
    </row>
    <row r="96" spans="5:11" ht="20" customHeight="1">
      <c r="E96" s="11" t="str" cm="1">
        <f t="array" ref="E96">IF(ISBLANK($A96),"",_xlfn._xlws.FILTER(Score_Sheet!$F:$K,(Score_Sheet!$L:$L=Sheet1!$B$1)*(Score_Sheet!$A:$A=Sheet1!$A96),"NA"))</f>
        <v/>
      </c>
      <c r="F96" s="11"/>
      <c r="G96" s="11"/>
      <c r="H96" s="11"/>
      <c r="I96" s="11"/>
      <c r="J96" s="10"/>
      <c r="K96" s="9" t="str" cm="1">
        <f t="array" ref="K96">IF(ISBLANK($A96),"",_xlfn._xlws.FILTER(Score_Sheet!$AA:$AI,(Score_Sheet!$L:$L=Sheet1!$B$1)*(Score_Sheet!$A:$A=Sheet1!$A96),"NA"))</f>
        <v/>
      </c>
    </row>
    <row r="97" spans="5:11" ht="20" customHeight="1">
      <c r="E97" s="11" t="str" cm="1">
        <f t="array" ref="E97">IF(ISBLANK($A97),"",_xlfn._xlws.FILTER(Score_Sheet!$F:$K,(Score_Sheet!$L:$L=Sheet1!$B$1)*(Score_Sheet!$A:$A=Sheet1!$A97),"NA"))</f>
        <v/>
      </c>
      <c r="F97" s="11"/>
      <c r="G97" s="11"/>
      <c r="H97" s="11"/>
      <c r="I97" s="11"/>
      <c r="J97" s="10"/>
      <c r="K97" s="9" t="str" cm="1">
        <f t="array" ref="K97">IF(ISBLANK($A97),"",_xlfn._xlws.FILTER(Score_Sheet!$AA:$AI,(Score_Sheet!$L:$L=Sheet1!$B$1)*(Score_Sheet!$A:$A=Sheet1!$A97),"NA"))</f>
        <v/>
      </c>
    </row>
    <row r="98" spans="5:11" ht="20" customHeight="1">
      <c r="E98" s="11" t="str" cm="1">
        <f t="array" ref="E98">IF(ISBLANK($A98),"",_xlfn._xlws.FILTER(Score_Sheet!$F:$K,(Score_Sheet!$L:$L=Sheet1!$B$1)*(Score_Sheet!$A:$A=Sheet1!$A98),"NA"))</f>
        <v/>
      </c>
      <c r="F98" s="11"/>
      <c r="G98" s="11"/>
      <c r="H98" s="11"/>
      <c r="I98" s="11"/>
      <c r="J98" s="10"/>
      <c r="K98" s="9" t="str" cm="1">
        <f t="array" ref="K98">IF(ISBLANK($A98),"",_xlfn._xlws.FILTER(Score_Sheet!$AA:$AI,(Score_Sheet!$L:$L=Sheet1!$B$1)*(Score_Sheet!$A:$A=Sheet1!$A98),"NA"))</f>
        <v/>
      </c>
    </row>
    <row r="99" spans="5:11" ht="20" customHeight="1">
      <c r="E99" s="11" t="str" cm="1">
        <f t="array" ref="E99">IF(ISBLANK($A99),"",_xlfn._xlws.FILTER(Score_Sheet!$F:$K,(Score_Sheet!$L:$L=Sheet1!$B$1)*(Score_Sheet!$A:$A=Sheet1!$A99),"NA"))</f>
        <v/>
      </c>
      <c r="F99" s="11"/>
      <c r="G99" s="11"/>
      <c r="H99" s="11"/>
      <c r="I99" s="11"/>
      <c r="J99" s="10"/>
      <c r="K99" s="9" t="str" cm="1">
        <f t="array" ref="K99">IF(ISBLANK($A99),"",_xlfn._xlws.FILTER(Score_Sheet!$AA:$AI,(Score_Sheet!$L:$L=Sheet1!$B$1)*(Score_Sheet!$A:$A=Sheet1!$A99),"NA"))</f>
        <v/>
      </c>
    </row>
    <row r="100" spans="5:11" ht="20" customHeight="1">
      <c r="E100" s="11" t="str" cm="1">
        <f t="array" ref="E100">IF(ISBLANK($A100),"",_xlfn._xlws.FILTER(Score_Sheet!$F:$K,(Score_Sheet!$L:$L=Sheet1!$B$1)*(Score_Sheet!$A:$A=Sheet1!$A100),"NA"))</f>
        <v/>
      </c>
      <c r="F100" s="11"/>
      <c r="G100" s="11"/>
      <c r="H100" s="11"/>
      <c r="I100" s="11"/>
      <c r="J100" s="10"/>
      <c r="K100" s="9" t="str" cm="1">
        <f t="array" ref="K100">IF(ISBLANK($A100),"",_xlfn._xlws.FILTER(Score_Sheet!$AA:$AI,(Score_Sheet!$L:$L=Sheet1!$B$1)*(Score_Sheet!$A:$A=Sheet1!$A100),"NA"))</f>
        <v/>
      </c>
    </row>
    <row r="101" spans="5:11" ht="20" customHeight="1">
      <c r="E101" s="11" t="str" cm="1">
        <f t="array" ref="E101">IF(ISBLANK($A101),"",_xlfn._xlws.FILTER(Score_Sheet!$F:$K,(Score_Sheet!$L:$L=Sheet1!$B$1)*(Score_Sheet!$A:$A=Sheet1!$A101),"NA"))</f>
        <v/>
      </c>
      <c r="F101" s="11"/>
      <c r="G101" s="11"/>
      <c r="H101" s="11"/>
      <c r="I101" s="11"/>
      <c r="J101" s="10"/>
      <c r="K101" s="9" t="str" cm="1">
        <f t="array" ref="K101">IF(ISBLANK($A101),"",_xlfn._xlws.FILTER(Score_Sheet!$AA:$AI,(Score_Sheet!$L:$L=Sheet1!$B$1)*(Score_Sheet!$A:$A=Sheet1!$A101),"NA"))</f>
        <v/>
      </c>
    </row>
    <row r="102" spans="5:11" ht="20" customHeight="1">
      <c r="E102" s="11" t="str" cm="1">
        <f t="array" ref="E102">IF(ISBLANK($A102),"",_xlfn._xlws.FILTER(Score_Sheet!$F:$K,(Score_Sheet!$L:$L=Sheet1!$B$1)*(Score_Sheet!$A:$A=Sheet1!$A102),"NA"))</f>
        <v/>
      </c>
      <c r="F102" s="11"/>
      <c r="G102" s="11"/>
      <c r="H102" s="11"/>
      <c r="I102" s="11"/>
      <c r="J102" s="10"/>
      <c r="K102" s="9" t="str" cm="1">
        <f t="array" ref="K102">IF(ISBLANK($A102),"",_xlfn._xlws.FILTER(Score_Sheet!$AA:$AI,(Score_Sheet!$L:$L=Sheet1!$B$1)*(Score_Sheet!$A:$A=Sheet1!$A102),"NA"))</f>
        <v/>
      </c>
    </row>
    <row r="103" spans="5:11" ht="20" customHeight="1">
      <c r="E103" s="11" t="str" cm="1">
        <f t="array" ref="E103">IF(ISBLANK($A103),"",_xlfn._xlws.FILTER(Score_Sheet!$F:$K,(Score_Sheet!$L:$L=Sheet1!$B$1)*(Score_Sheet!$A:$A=Sheet1!$A103),"NA"))</f>
        <v/>
      </c>
      <c r="F103" s="11"/>
      <c r="G103" s="11"/>
      <c r="H103" s="11"/>
      <c r="I103" s="11"/>
      <c r="J103" s="10"/>
      <c r="K103" s="9" t="str" cm="1">
        <f t="array" ref="K103">IF(ISBLANK($A103),"",_xlfn._xlws.FILTER(Score_Sheet!$AA:$AI,(Score_Sheet!$L:$L=Sheet1!$B$1)*(Score_Sheet!$A:$A=Sheet1!$A103),"NA"))</f>
        <v/>
      </c>
    </row>
    <row r="104" spans="5:11" ht="20" customHeight="1">
      <c r="E104" s="11" t="str" cm="1">
        <f t="array" ref="E104">IF(ISBLANK($A104),"",_xlfn._xlws.FILTER(Score_Sheet!$F:$K,(Score_Sheet!$L:$L=Sheet1!$B$1)*(Score_Sheet!$A:$A=Sheet1!$A104),"NA"))</f>
        <v/>
      </c>
      <c r="F104" s="11"/>
      <c r="G104" s="11"/>
      <c r="H104" s="11"/>
      <c r="I104" s="11"/>
      <c r="J104" s="10"/>
      <c r="K104" s="9" t="str" cm="1">
        <f t="array" ref="K104">IF(ISBLANK($A104),"",_xlfn._xlws.FILTER(Score_Sheet!$AA:$AI,(Score_Sheet!$L:$L=Sheet1!$B$1)*(Score_Sheet!$A:$A=Sheet1!$A104),"NA"))</f>
        <v/>
      </c>
    </row>
    <row r="105" spans="5:11" ht="20" customHeight="1">
      <c r="E105" s="11" t="str" cm="1">
        <f t="array" ref="E105">IF(ISBLANK($A105),"",_xlfn._xlws.FILTER(Score_Sheet!$F:$K,(Score_Sheet!$L:$L=Sheet1!$B$1)*(Score_Sheet!$A:$A=Sheet1!$A105),"NA"))</f>
        <v/>
      </c>
      <c r="F105" s="11"/>
      <c r="G105" s="11"/>
      <c r="H105" s="11"/>
      <c r="I105" s="11"/>
      <c r="J105" s="10"/>
      <c r="K105" s="9" t="str" cm="1">
        <f t="array" ref="K105">IF(ISBLANK($A105),"",_xlfn._xlws.FILTER(Score_Sheet!$AA:$AI,(Score_Sheet!$L:$L=Sheet1!$B$1)*(Score_Sheet!$A:$A=Sheet1!$A105),"NA"))</f>
        <v/>
      </c>
    </row>
    <row r="106" spans="5:11" ht="20" customHeight="1">
      <c r="E106" s="11" t="str" cm="1">
        <f t="array" ref="E106">IF(ISBLANK($A106),"",_xlfn._xlws.FILTER(Score_Sheet!$F:$K,(Score_Sheet!$L:$L=Sheet1!$B$1)*(Score_Sheet!$A:$A=Sheet1!$A106),"NA"))</f>
        <v/>
      </c>
      <c r="F106" s="11"/>
      <c r="G106" s="11"/>
      <c r="H106" s="11"/>
      <c r="I106" s="11"/>
      <c r="J106" s="10"/>
      <c r="K106" s="9" t="str" cm="1">
        <f t="array" ref="K106">IF(ISBLANK($A106),"",_xlfn._xlws.FILTER(Score_Sheet!$AA:$AI,(Score_Sheet!$L:$L=Sheet1!$B$1)*(Score_Sheet!$A:$A=Sheet1!$A106),"NA"))</f>
        <v/>
      </c>
    </row>
    <row r="107" spans="5:11" ht="20" customHeight="1">
      <c r="E107" s="11" t="str" cm="1">
        <f t="array" ref="E107">IF(ISBLANK($A107),"",_xlfn._xlws.FILTER(Score_Sheet!$F:$K,(Score_Sheet!$L:$L=Sheet1!$B$1)*(Score_Sheet!$A:$A=Sheet1!$A107),"NA"))</f>
        <v/>
      </c>
      <c r="F107" s="11"/>
      <c r="G107" s="11"/>
      <c r="H107" s="11"/>
      <c r="I107" s="11"/>
      <c r="J107" s="10"/>
      <c r="K107" s="9" t="str" cm="1">
        <f t="array" ref="K107">IF(ISBLANK($A107),"",_xlfn._xlws.FILTER(Score_Sheet!$AA:$AI,(Score_Sheet!$L:$L=Sheet1!$B$1)*(Score_Sheet!$A:$A=Sheet1!$A107),"NA"))</f>
        <v/>
      </c>
    </row>
    <row r="108" spans="5:11" ht="20" customHeight="1">
      <c r="E108" s="11" t="str" cm="1">
        <f t="array" ref="E108">IF(ISBLANK($A108),"",_xlfn._xlws.FILTER(Score_Sheet!$F:$K,(Score_Sheet!$L:$L=Sheet1!$B$1)*(Score_Sheet!$A:$A=Sheet1!$A108),"NA"))</f>
        <v/>
      </c>
      <c r="F108" s="11"/>
      <c r="G108" s="11"/>
      <c r="H108" s="11"/>
      <c r="I108" s="11"/>
      <c r="J108" s="10"/>
      <c r="K108" s="9" t="str" cm="1">
        <f t="array" ref="K108">IF(ISBLANK($A108),"",_xlfn._xlws.FILTER(Score_Sheet!$AA:$AI,(Score_Sheet!$L:$L=Sheet1!$B$1)*(Score_Sheet!$A:$A=Sheet1!$A108),"NA"))</f>
        <v/>
      </c>
    </row>
    <row r="109" spans="5:11" ht="20" customHeight="1">
      <c r="E109" s="11" t="str" cm="1">
        <f t="array" ref="E109">IF(ISBLANK($A109),"",_xlfn._xlws.FILTER(Score_Sheet!$F:$K,(Score_Sheet!$L:$L=Sheet1!$B$1)*(Score_Sheet!$A:$A=Sheet1!$A109),"NA"))</f>
        <v/>
      </c>
      <c r="F109" s="11"/>
      <c r="G109" s="11"/>
      <c r="H109" s="11"/>
      <c r="I109" s="11"/>
      <c r="J109" s="10"/>
      <c r="K109" s="9" t="str" cm="1">
        <f t="array" ref="K109">IF(ISBLANK($A109),"",_xlfn._xlws.FILTER(Score_Sheet!$AA:$AI,(Score_Sheet!$L:$L=Sheet1!$B$1)*(Score_Sheet!$A:$A=Sheet1!$A109),"NA"))</f>
        <v/>
      </c>
    </row>
    <row r="110" spans="5:11" ht="20" customHeight="1">
      <c r="E110" s="11" t="str" cm="1">
        <f t="array" ref="E110">IF(ISBLANK($A110),"",_xlfn._xlws.FILTER(Score_Sheet!$F:$K,(Score_Sheet!$L:$L=Sheet1!$B$1)*(Score_Sheet!$A:$A=Sheet1!$A110),"NA"))</f>
        <v/>
      </c>
      <c r="F110" s="11"/>
      <c r="G110" s="11"/>
      <c r="H110" s="11"/>
      <c r="I110" s="11"/>
      <c r="J110" s="10"/>
      <c r="K110" s="9" t="str" cm="1">
        <f t="array" ref="K110">IF(ISBLANK($A110),"",_xlfn._xlws.FILTER(Score_Sheet!$AA:$AI,(Score_Sheet!$L:$L=Sheet1!$B$1)*(Score_Sheet!$A:$A=Sheet1!$A110),"NA"))</f>
        <v/>
      </c>
    </row>
    <row r="111" spans="5:11" ht="20" customHeight="1">
      <c r="E111" s="11" t="str" cm="1">
        <f t="array" ref="E111">IF(ISBLANK($A111),"",_xlfn._xlws.FILTER(Score_Sheet!$F:$K,(Score_Sheet!$L:$L=Sheet1!$B$1)*(Score_Sheet!$A:$A=Sheet1!$A111),"NA"))</f>
        <v/>
      </c>
      <c r="F111" s="11"/>
      <c r="G111" s="11"/>
      <c r="H111" s="11"/>
      <c r="I111" s="11"/>
      <c r="J111" s="10"/>
      <c r="K111" s="9" t="str" cm="1">
        <f t="array" ref="K111">IF(ISBLANK($A111),"",_xlfn._xlws.FILTER(Score_Sheet!$AA:$AI,(Score_Sheet!$L:$L=Sheet1!$B$1)*(Score_Sheet!$A:$A=Sheet1!$A111),"NA"))</f>
        <v/>
      </c>
    </row>
    <row r="112" spans="5:11" ht="20" customHeight="1">
      <c r="E112" s="11" t="str" cm="1">
        <f t="array" ref="E112">IF(ISBLANK($A112),"",_xlfn._xlws.FILTER(Score_Sheet!$F:$K,(Score_Sheet!$L:$L=Sheet1!$B$1)*(Score_Sheet!$A:$A=Sheet1!$A112),"NA"))</f>
        <v/>
      </c>
      <c r="F112" s="11"/>
      <c r="G112" s="11"/>
      <c r="H112" s="11"/>
      <c r="I112" s="11"/>
      <c r="J112" s="10"/>
      <c r="K112" s="9" t="str" cm="1">
        <f t="array" ref="K112">IF(ISBLANK($A112),"",_xlfn._xlws.FILTER(Score_Sheet!$AA:$AI,(Score_Sheet!$L:$L=Sheet1!$B$1)*(Score_Sheet!$A:$A=Sheet1!$A112),"NA"))</f>
        <v/>
      </c>
    </row>
    <row r="113" spans="5:11" ht="20" customHeight="1">
      <c r="E113" s="11" t="str" cm="1">
        <f t="array" ref="E113">IF(ISBLANK($A113),"",_xlfn._xlws.FILTER(Score_Sheet!$F:$K,(Score_Sheet!$L:$L=Sheet1!$B$1)*(Score_Sheet!$A:$A=Sheet1!$A113),"NA"))</f>
        <v/>
      </c>
      <c r="F113" s="11"/>
      <c r="G113" s="11"/>
      <c r="H113" s="11"/>
      <c r="I113" s="11"/>
      <c r="J113" s="10"/>
      <c r="K113" s="9" t="str" cm="1">
        <f t="array" ref="K113">IF(ISBLANK($A113),"",_xlfn._xlws.FILTER(Score_Sheet!$AA:$AI,(Score_Sheet!$L:$L=Sheet1!$B$1)*(Score_Sheet!$A:$A=Sheet1!$A113),"NA"))</f>
        <v/>
      </c>
    </row>
    <row r="114" spans="5:11" ht="20" customHeight="1">
      <c r="E114" s="11" t="str" cm="1">
        <f t="array" ref="E114">IF(ISBLANK($A114),"",_xlfn._xlws.FILTER(Score_Sheet!$F:$K,(Score_Sheet!$L:$L=Sheet1!$B$1)*(Score_Sheet!$A:$A=Sheet1!$A114),"NA"))</f>
        <v/>
      </c>
      <c r="F114" s="11"/>
      <c r="G114" s="11"/>
      <c r="H114" s="11"/>
      <c r="I114" s="11"/>
      <c r="J114" s="10"/>
      <c r="K114" s="9" t="str" cm="1">
        <f t="array" ref="K114">IF(ISBLANK($A114),"",_xlfn._xlws.FILTER(Score_Sheet!$AA:$AI,(Score_Sheet!$L:$L=Sheet1!$B$1)*(Score_Sheet!$A:$A=Sheet1!$A114),"NA"))</f>
        <v/>
      </c>
    </row>
    <row r="115" spans="5:11" ht="20" customHeight="1">
      <c r="E115" s="11" t="str" cm="1">
        <f t="array" ref="E115">IF(ISBLANK($A115),"",_xlfn._xlws.FILTER(Score_Sheet!$F:$K,(Score_Sheet!$L:$L=Sheet1!$B$1)*(Score_Sheet!$A:$A=Sheet1!$A115),"NA"))</f>
        <v/>
      </c>
      <c r="F115" s="11"/>
      <c r="G115" s="11"/>
      <c r="H115" s="11"/>
      <c r="I115" s="11"/>
      <c r="J115" s="10"/>
      <c r="K115" s="9" t="str" cm="1">
        <f t="array" ref="K115">IF(ISBLANK($A115),"",_xlfn._xlws.FILTER(Score_Sheet!$AA:$AI,(Score_Sheet!$L:$L=Sheet1!$B$1)*(Score_Sheet!$A:$A=Sheet1!$A115),"NA"))</f>
        <v/>
      </c>
    </row>
    <row r="116" spans="5:11" ht="20" customHeight="1">
      <c r="E116" s="11" t="str" cm="1">
        <f t="array" ref="E116">IF(ISBLANK($A116),"",_xlfn._xlws.FILTER(Score_Sheet!$F:$K,(Score_Sheet!$L:$L=Sheet1!$B$1)*(Score_Sheet!$A:$A=Sheet1!$A116),"NA"))</f>
        <v/>
      </c>
      <c r="F116" s="11"/>
      <c r="G116" s="11"/>
      <c r="H116" s="11"/>
      <c r="I116" s="11"/>
      <c r="J116" s="10"/>
      <c r="K116" s="9" t="str" cm="1">
        <f t="array" ref="K116">IF(ISBLANK($A116),"",_xlfn._xlws.FILTER(Score_Sheet!$AA:$AI,(Score_Sheet!$L:$L=Sheet1!$B$1)*(Score_Sheet!$A:$A=Sheet1!$A116),"NA"))</f>
        <v/>
      </c>
    </row>
    <row r="117" spans="5:11" ht="20" customHeight="1">
      <c r="E117" s="11" t="str" cm="1">
        <f t="array" ref="E117">IF(ISBLANK($A117),"",_xlfn._xlws.FILTER(Score_Sheet!$F:$K,(Score_Sheet!$L:$L=Sheet1!$B$1)*(Score_Sheet!$A:$A=Sheet1!$A117),"NA"))</f>
        <v/>
      </c>
      <c r="F117" s="11"/>
      <c r="G117" s="11"/>
      <c r="H117" s="11"/>
      <c r="I117" s="11"/>
      <c r="J117" s="10"/>
      <c r="K117" s="9" t="str" cm="1">
        <f t="array" ref="K117">IF(ISBLANK($A117),"",_xlfn._xlws.FILTER(Score_Sheet!$AA:$AI,(Score_Sheet!$L:$L=Sheet1!$B$1)*(Score_Sheet!$A:$A=Sheet1!$A117),"NA"))</f>
        <v/>
      </c>
    </row>
    <row r="118" spans="5:11" ht="20" customHeight="1">
      <c r="E118" s="11" t="str" cm="1">
        <f t="array" ref="E118">IF(ISBLANK($A118),"",_xlfn._xlws.FILTER(Score_Sheet!$F:$K,(Score_Sheet!$L:$L=Sheet1!$B$1)*(Score_Sheet!$A:$A=Sheet1!$A118),"NA"))</f>
        <v/>
      </c>
      <c r="F118" s="11"/>
      <c r="G118" s="11"/>
      <c r="H118" s="11"/>
      <c r="I118" s="11"/>
      <c r="J118" s="10"/>
      <c r="K118" s="9" t="str" cm="1">
        <f t="array" ref="K118">IF(ISBLANK($A118),"",_xlfn._xlws.FILTER(Score_Sheet!$AA:$AI,(Score_Sheet!$L:$L=Sheet1!$B$1)*(Score_Sheet!$A:$A=Sheet1!$A118),"NA"))</f>
        <v/>
      </c>
    </row>
    <row r="119" spans="5:11" ht="20" customHeight="1">
      <c r="E119" s="11" t="str" cm="1">
        <f t="array" ref="E119">IF(ISBLANK($A119),"",_xlfn._xlws.FILTER(Score_Sheet!$F:$K,(Score_Sheet!$L:$L=Sheet1!$B$1)*(Score_Sheet!$A:$A=Sheet1!$A119),"NA"))</f>
        <v/>
      </c>
      <c r="F119" s="11"/>
      <c r="G119" s="11"/>
      <c r="H119" s="11"/>
      <c r="I119" s="11"/>
      <c r="J119" s="10"/>
      <c r="K119" s="9" t="str" cm="1">
        <f t="array" ref="K119">IF(ISBLANK($A119),"",_xlfn._xlws.FILTER(Score_Sheet!$AA:$AI,(Score_Sheet!$L:$L=Sheet1!$B$1)*(Score_Sheet!$A:$A=Sheet1!$A119),"NA"))</f>
        <v/>
      </c>
    </row>
    <row r="120" spans="5:11" ht="18">
      <c r="E120" s="11" t="str" cm="1">
        <f t="array" ref="E120">IF(ISBLANK($A120),"",_xlfn._xlws.FILTER(Score_Sheet!$F:$K,(Score_Sheet!$L:$L=Sheet1!$B$1)*(Score_Sheet!$A:$A=Sheet1!$A120),"NA"))</f>
        <v/>
      </c>
      <c r="F120" s="11"/>
      <c r="G120" s="11"/>
      <c r="H120" s="11"/>
      <c r="I120" s="11"/>
      <c r="J120" s="10"/>
      <c r="K120" s="9" t="str" cm="1">
        <f t="array" ref="K120">IF(ISBLANK($A120),"",_xlfn._xlws.FILTER(Score_Sheet!$AA:$AI,(Score_Sheet!$L:$L=Sheet1!$B$1)*(Score_Sheet!$A:$A=Sheet1!$A120),"NA"))</f>
        <v/>
      </c>
    </row>
    <row r="121" spans="5:11" ht="18">
      <c r="E121" s="11" t="str" cm="1">
        <f t="array" ref="E121">IF(ISBLANK($A121),"",_xlfn._xlws.FILTER(Score_Sheet!$F:$K,(Score_Sheet!$L:$L=Sheet1!$B$1)*(Score_Sheet!$A:$A=Sheet1!$A121),"NA"))</f>
        <v/>
      </c>
      <c r="F121" s="11"/>
      <c r="G121" s="11"/>
      <c r="H121" s="11"/>
      <c r="I121" s="11"/>
      <c r="J121" s="10"/>
      <c r="K121" s="9" t="str" cm="1">
        <f t="array" ref="K121">IF(ISBLANK($A121),"",_xlfn._xlws.FILTER(Score_Sheet!$AA:$AI,(Score_Sheet!$L:$L=Sheet1!$B$1)*(Score_Sheet!$A:$A=Sheet1!$A121),"NA"))</f>
        <v/>
      </c>
    </row>
    <row r="122" spans="5:11" ht="18">
      <c r="E122" s="11" t="str" cm="1">
        <f t="array" ref="E122">IF(ISBLANK($A122),"",_xlfn._xlws.FILTER(Score_Sheet!$F:$K,(Score_Sheet!$L:$L=Sheet1!$B$1)*(Score_Sheet!$A:$A=Sheet1!$A122),"NA"))</f>
        <v/>
      </c>
      <c r="F122" s="11"/>
      <c r="G122" s="11"/>
      <c r="H122" s="11"/>
      <c r="I122" s="11"/>
      <c r="J122" s="10"/>
      <c r="K122" s="9" t="str" cm="1">
        <f t="array" ref="K122">IF(ISBLANK($A122),"",_xlfn._xlws.FILTER(Score_Sheet!$AA:$AI,(Score_Sheet!$L:$L=Sheet1!$B$1)*(Score_Sheet!$A:$A=Sheet1!$A122),"NA"))</f>
        <v/>
      </c>
    </row>
    <row r="123" spans="5:11" ht="18">
      <c r="E123" s="11" t="str" cm="1">
        <f t="array" ref="E123">IF(ISBLANK($A123),"",_xlfn._xlws.FILTER(Score_Sheet!$F:$K,(Score_Sheet!$L:$L=Sheet1!$B$1)*(Score_Sheet!$A:$A=Sheet1!$A123),"NA"))</f>
        <v/>
      </c>
      <c r="F123" s="11"/>
      <c r="G123" s="11"/>
      <c r="H123" s="11"/>
      <c r="I123" s="11"/>
      <c r="J123" s="10"/>
      <c r="K123" s="9" t="str" cm="1">
        <f t="array" ref="K123">IF(ISBLANK($A123),"",_xlfn._xlws.FILTER(Score_Sheet!$AA:$AI,(Score_Sheet!$L:$L=Sheet1!$B$1)*(Score_Sheet!$A:$A=Sheet1!$A123),"NA"))</f>
        <v/>
      </c>
    </row>
    <row r="124" spans="5:11" ht="18">
      <c r="E124" s="11" t="str" cm="1">
        <f t="array" ref="E124">IF(ISBLANK($A124),"",_xlfn._xlws.FILTER(Score_Sheet!$F:$K,(Score_Sheet!$L:$L=Sheet1!$B$1)*(Score_Sheet!$A:$A=Sheet1!$A124),"NA"))</f>
        <v/>
      </c>
      <c r="F124" s="11"/>
      <c r="G124" s="11"/>
      <c r="H124" s="11"/>
      <c r="I124" s="11"/>
      <c r="J124" s="10"/>
      <c r="K124" s="9" t="str" cm="1">
        <f t="array" ref="K124">IF(ISBLANK($A124),"",_xlfn._xlws.FILTER(Score_Sheet!$AA:$AI,(Score_Sheet!$L:$L=Sheet1!$B$1)*(Score_Sheet!$A:$A=Sheet1!$A124),"NA"))</f>
        <v/>
      </c>
    </row>
    <row r="125" spans="5:11" ht="18">
      <c r="E125" s="11" t="str" cm="1">
        <f t="array" ref="E125">IF(ISBLANK($A125),"",_xlfn._xlws.FILTER(Score_Sheet!$F:$K,(Score_Sheet!$L:$L=Sheet1!$B$1)*(Score_Sheet!$A:$A=Sheet1!$A125),"NA"))</f>
        <v/>
      </c>
      <c r="F125" s="11"/>
      <c r="G125" s="11"/>
      <c r="H125" s="11"/>
      <c r="I125" s="11"/>
      <c r="J125" s="10"/>
      <c r="K125" s="9" t="str" cm="1">
        <f t="array" ref="K125">IF(ISBLANK($A125),"",_xlfn._xlws.FILTER(Score_Sheet!$AA:$AI,(Score_Sheet!$L:$L=Sheet1!$B$1)*(Score_Sheet!$A:$A=Sheet1!$A125),"NA"))</f>
        <v/>
      </c>
    </row>
    <row r="126" spans="5:11" ht="18">
      <c r="E126" s="11" t="str" cm="1">
        <f t="array" ref="E126">IF(ISBLANK($A126),"",_xlfn._xlws.FILTER(Score_Sheet!$F:$K,(Score_Sheet!$L:$L=Sheet1!$B$1)*(Score_Sheet!$A:$A=Sheet1!$A126),"NA"))</f>
        <v/>
      </c>
      <c r="F126" s="11"/>
      <c r="G126" s="11"/>
      <c r="H126" s="11"/>
      <c r="I126" s="11"/>
      <c r="J126" s="10"/>
      <c r="K126" s="9" t="str" cm="1">
        <f t="array" ref="K126">IF(ISBLANK($A126),"",_xlfn._xlws.FILTER(Score_Sheet!$AA:$AI,(Score_Sheet!$L:$L=Sheet1!$B$1)*(Score_Sheet!$A:$A=Sheet1!$A126),"NA"))</f>
        <v/>
      </c>
    </row>
    <row r="127" spans="5:11" ht="18">
      <c r="E127" s="11" t="str" cm="1">
        <f t="array" ref="E127">IF(ISBLANK($A127),"",_xlfn._xlws.FILTER(Score_Sheet!$F:$K,(Score_Sheet!$L:$L=Sheet1!$B$1)*(Score_Sheet!$A:$A=Sheet1!$A127),"NA"))</f>
        <v/>
      </c>
      <c r="F127" s="11"/>
      <c r="G127" s="11"/>
      <c r="H127" s="11"/>
      <c r="I127" s="11"/>
      <c r="J127" s="10"/>
      <c r="K127" s="9" t="str" cm="1">
        <f t="array" ref="K127">IF(ISBLANK($A127),"",_xlfn._xlws.FILTER(Score_Sheet!$AA:$AI,(Score_Sheet!$L:$L=Sheet1!$B$1)*(Score_Sheet!$A:$A=Sheet1!$A127),"NA"))</f>
        <v/>
      </c>
    </row>
    <row r="128" spans="5:11" ht="18">
      <c r="E128" s="11" t="str" cm="1">
        <f t="array" ref="E128">IF(ISBLANK($A128),"",_xlfn._xlws.FILTER(Score_Sheet!$F:$K,(Score_Sheet!$L:$L=Sheet1!$B$1)*(Score_Sheet!$A:$A=Sheet1!$A128),"NA"))</f>
        <v/>
      </c>
      <c r="F128" s="11"/>
      <c r="G128" s="11"/>
      <c r="H128" s="11"/>
      <c r="I128" s="11"/>
      <c r="J128" s="10"/>
      <c r="K128" s="9" t="str" cm="1">
        <f t="array" ref="K128">IF(ISBLANK($A128),"",_xlfn._xlws.FILTER(Score_Sheet!$AA:$AI,(Score_Sheet!$L:$L=Sheet1!$B$1)*(Score_Sheet!$A:$A=Sheet1!$A128),"NA"))</f>
        <v/>
      </c>
    </row>
    <row r="129" spans="5:11" ht="18">
      <c r="E129" s="11" t="str" cm="1">
        <f t="array" ref="E129">IF(ISBLANK($A129),"",_xlfn._xlws.FILTER(Score_Sheet!$F:$K,(Score_Sheet!$L:$L=Sheet1!$B$1)*(Score_Sheet!$A:$A=Sheet1!$A129),"NA"))</f>
        <v/>
      </c>
      <c r="F129" s="11"/>
      <c r="G129" s="11"/>
      <c r="H129" s="11"/>
      <c r="I129" s="11"/>
      <c r="J129" s="10"/>
      <c r="K129" s="9" t="str" cm="1">
        <f t="array" ref="K129">IF(ISBLANK($A129),"",_xlfn._xlws.FILTER(Score_Sheet!$AA:$AI,(Score_Sheet!$L:$L=Sheet1!$B$1)*(Score_Sheet!$A:$A=Sheet1!$A129),"NA"))</f>
        <v/>
      </c>
    </row>
    <row r="130" spans="5:11" ht="18">
      <c r="E130" s="11" t="str" cm="1">
        <f t="array" ref="E130">IF(ISBLANK($A130),"",_xlfn._xlws.FILTER(Score_Sheet!$F:$K,(Score_Sheet!$L:$L=Sheet1!$B$1)*(Score_Sheet!$A:$A=Sheet1!$A130),"NA"))</f>
        <v/>
      </c>
      <c r="F130" s="11"/>
      <c r="G130" s="11"/>
      <c r="H130" s="11"/>
      <c r="I130" s="11"/>
      <c r="J130" s="10"/>
      <c r="K130" s="9" t="str" cm="1">
        <f t="array" ref="K130">IF(ISBLANK($A130),"",_xlfn._xlws.FILTER(Score_Sheet!$AA:$AI,(Score_Sheet!$L:$L=Sheet1!$B$1)*(Score_Sheet!$A:$A=Sheet1!$A130),"NA"))</f>
        <v/>
      </c>
    </row>
    <row r="131" spans="5:11" ht="18">
      <c r="E131" s="11" t="str" cm="1">
        <f t="array" ref="E131">IF(ISBLANK($A131),"",_xlfn._xlws.FILTER(Score_Sheet!$F:$K,(Score_Sheet!$L:$L=Sheet1!$B$1)*(Score_Sheet!$A:$A=Sheet1!$A131),"NA"))</f>
        <v/>
      </c>
      <c r="F131" s="11"/>
      <c r="G131" s="11"/>
      <c r="H131" s="11"/>
      <c r="I131" s="11"/>
      <c r="J131" s="10"/>
      <c r="K131" s="9" t="str" cm="1">
        <f t="array" ref="K131">IF(ISBLANK($A131),"",_xlfn._xlws.FILTER(Score_Sheet!$AA:$AI,(Score_Sheet!$L:$L=Sheet1!$B$1)*(Score_Sheet!$A:$A=Sheet1!$A131),"NA"))</f>
        <v/>
      </c>
    </row>
    <row r="132" spans="5:11" ht="18">
      <c r="E132" s="11" t="str" cm="1">
        <f t="array" ref="E132">IF(ISBLANK($A132),"",_xlfn._xlws.FILTER(Score_Sheet!$F:$K,(Score_Sheet!$L:$L=Sheet1!$B$1)*(Score_Sheet!$A:$A=Sheet1!$A132),"NA"))</f>
        <v/>
      </c>
      <c r="F132" s="11"/>
      <c r="G132" s="11"/>
      <c r="H132" s="11"/>
      <c r="I132" s="11"/>
      <c r="J132" s="10"/>
      <c r="K132" s="9" t="str" cm="1">
        <f t="array" ref="K132">IF(ISBLANK($A132),"",_xlfn._xlws.FILTER(Score_Sheet!$AA:$AI,(Score_Sheet!$L:$L=Sheet1!$B$1)*(Score_Sheet!$A:$A=Sheet1!$A132),"NA"))</f>
        <v/>
      </c>
    </row>
    <row r="133" spans="5:11" ht="18">
      <c r="E133" s="11" t="str" cm="1">
        <f t="array" ref="E133">IF(ISBLANK($A133),"",_xlfn._xlws.FILTER(Score_Sheet!$F:$K,(Score_Sheet!$L:$L=Sheet1!$B$1)*(Score_Sheet!$A:$A=Sheet1!$A133),"NA"))</f>
        <v/>
      </c>
      <c r="F133" s="11"/>
      <c r="G133" s="11"/>
      <c r="H133" s="11"/>
      <c r="I133" s="11"/>
      <c r="J133" s="10"/>
      <c r="K133" s="9" t="str" cm="1">
        <f t="array" ref="K133">IF(ISBLANK($A133),"",_xlfn._xlws.FILTER(Score_Sheet!$AA:$AI,(Score_Sheet!$L:$L=Sheet1!$B$1)*(Score_Sheet!$A:$A=Sheet1!$A133),"NA"))</f>
        <v/>
      </c>
    </row>
    <row r="134" spans="5:11" ht="18">
      <c r="E134" s="11" t="str" cm="1">
        <f t="array" ref="E134">IF(ISBLANK($A134),"",_xlfn._xlws.FILTER(Score_Sheet!$F:$K,(Score_Sheet!$L:$L=Sheet1!$B$1)*(Score_Sheet!$A:$A=Sheet1!$A134),"NA"))</f>
        <v/>
      </c>
      <c r="F134" s="11"/>
      <c r="G134" s="11"/>
      <c r="H134" s="11"/>
      <c r="I134" s="11"/>
      <c r="J134" s="10"/>
      <c r="K134" s="9" t="str" cm="1">
        <f t="array" ref="K134">IF(ISBLANK($A134),"",_xlfn._xlws.FILTER(Score_Sheet!$AA:$AI,(Score_Sheet!$L:$L=Sheet1!$B$1)*(Score_Sheet!$A:$A=Sheet1!$A134),"NA"))</f>
        <v/>
      </c>
    </row>
    <row r="135" spans="5:11" ht="18">
      <c r="E135" s="11" t="str" cm="1">
        <f t="array" ref="E135">IF(ISBLANK($A135),"",_xlfn._xlws.FILTER(Score_Sheet!$F:$K,(Score_Sheet!$L:$L=Sheet1!$B$1)*(Score_Sheet!$A:$A=Sheet1!$A135),"NA"))</f>
        <v/>
      </c>
      <c r="F135" s="11"/>
      <c r="G135" s="11"/>
      <c r="H135" s="11"/>
      <c r="I135" s="11"/>
      <c r="J135" s="10"/>
      <c r="K135" s="9" t="str" cm="1">
        <f t="array" ref="K135">IF(ISBLANK($A135),"",_xlfn._xlws.FILTER(Score_Sheet!$AA:$AI,(Score_Sheet!$L:$L=Sheet1!$B$1)*(Score_Sheet!$A:$A=Sheet1!$A135),"NA"))</f>
        <v/>
      </c>
    </row>
    <row r="136" spans="5:11" ht="18">
      <c r="E136" s="11" t="str" cm="1">
        <f t="array" ref="E136">IF(ISBLANK($A136),"",_xlfn._xlws.FILTER(Score_Sheet!$F:$K,(Score_Sheet!$L:$L=Sheet1!$B$1)*(Score_Sheet!$A:$A=Sheet1!$A136),"NA"))</f>
        <v/>
      </c>
      <c r="F136" s="11"/>
      <c r="G136" s="11"/>
      <c r="H136" s="11"/>
      <c r="I136" s="11"/>
      <c r="J136" s="10"/>
      <c r="K136" s="9" t="str" cm="1">
        <f t="array" ref="K136">IF(ISBLANK($A136),"",_xlfn._xlws.FILTER(Score_Sheet!$AA:$AI,(Score_Sheet!$L:$L=Sheet1!$B$1)*(Score_Sheet!$A:$A=Sheet1!$A136),"NA"))</f>
        <v/>
      </c>
    </row>
    <row r="137" spans="5:11" ht="18">
      <c r="E137" s="11" t="str" cm="1">
        <f t="array" ref="E137">IF(ISBLANK($A137),"",_xlfn._xlws.FILTER(Score_Sheet!$F:$K,(Score_Sheet!$L:$L=Sheet1!$B$1)*(Score_Sheet!$A:$A=Sheet1!$A137),"NA"))</f>
        <v/>
      </c>
      <c r="F137" s="11"/>
      <c r="G137" s="11"/>
      <c r="H137" s="11"/>
      <c r="I137" s="11"/>
      <c r="J137" s="10"/>
      <c r="K137" s="9" t="str" cm="1">
        <f t="array" ref="K137">IF(ISBLANK($A137),"",_xlfn._xlws.FILTER(Score_Sheet!$AA:$AI,(Score_Sheet!$L:$L=Sheet1!$B$1)*(Score_Sheet!$A:$A=Sheet1!$A137),"NA"))</f>
        <v/>
      </c>
    </row>
    <row r="138" spans="5:11" ht="18">
      <c r="E138" s="11" t="str" cm="1">
        <f t="array" ref="E138">IF(ISBLANK($A138),"",_xlfn._xlws.FILTER(Score_Sheet!$F:$K,(Score_Sheet!$L:$L=Sheet1!$B$1)*(Score_Sheet!$A:$A=Sheet1!$A138),"NA"))</f>
        <v/>
      </c>
      <c r="F138" s="11"/>
      <c r="G138" s="11"/>
      <c r="H138" s="11"/>
      <c r="I138" s="11"/>
      <c r="J138" s="10"/>
      <c r="K138" s="9" t="str" cm="1">
        <f t="array" ref="K138">IF(ISBLANK($A138),"",_xlfn._xlws.FILTER(Score_Sheet!$AA:$AI,(Score_Sheet!$L:$L=Sheet1!$B$1)*(Score_Sheet!$A:$A=Sheet1!$A138),"NA"))</f>
        <v/>
      </c>
    </row>
    <row r="139" spans="5:11" ht="18">
      <c r="E139" s="11" t="str" cm="1">
        <f t="array" ref="E139">IF(ISBLANK($A139),"",_xlfn._xlws.FILTER(Score_Sheet!$F:$K,(Score_Sheet!$L:$L=Sheet1!$B$1)*(Score_Sheet!$A:$A=Sheet1!$A139),"NA"))</f>
        <v/>
      </c>
      <c r="F139" s="11"/>
      <c r="G139" s="11"/>
      <c r="H139" s="11"/>
      <c r="I139" s="11"/>
      <c r="J139" s="10"/>
      <c r="K139" s="9" t="str" cm="1">
        <f t="array" ref="K139">IF(ISBLANK($A139),"",_xlfn._xlws.FILTER(Score_Sheet!$AA:$AI,(Score_Sheet!$L:$L=Sheet1!$B$1)*(Score_Sheet!$A:$A=Sheet1!$A139),"NA"))</f>
        <v/>
      </c>
    </row>
    <row r="140" spans="5:11" ht="18">
      <c r="E140" s="11" t="str" cm="1">
        <f t="array" ref="E140">IF(ISBLANK($A140),"",_xlfn._xlws.FILTER(Score_Sheet!$F:$K,(Score_Sheet!$L:$L=Sheet1!$B$1)*(Score_Sheet!$A:$A=Sheet1!$A140),"NA"))</f>
        <v/>
      </c>
      <c r="F140" s="11"/>
      <c r="G140" s="11"/>
      <c r="H140" s="11"/>
      <c r="I140" s="11"/>
      <c r="J140" s="10"/>
      <c r="K140" s="9" t="str" cm="1">
        <f t="array" ref="K140">IF(ISBLANK($A140),"",_xlfn._xlws.FILTER(Score_Sheet!$AA:$AI,(Score_Sheet!$L:$L=Sheet1!$B$1)*(Score_Sheet!$A:$A=Sheet1!$A140),"NA"))</f>
        <v/>
      </c>
    </row>
    <row r="141" spans="5:11" ht="18">
      <c r="E141" s="11" t="str" cm="1">
        <f t="array" ref="E141">IF(ISBLANK($A141),"",_xlfn._xlws.FILTER(Score_Sheet!$F:$K,(Score_Sheet!$L:$L=Sheet1!$B$1)*(Score_Sheet!$A:$A=Sheet1!$A141),"NA"))</f>
        <v/>
      </c>
      <c r="F141" s="11"/>
      <c r="G141" s="11"/>
      <c r="H141" s="11"/>
      <c r="I141" s="11"/>
      <c r="J141" s="10"/>
      <c r="K141" s="9" t="str" cm="1">
        <f t="array" ref="K141">IF(ISBLANK($A141),"",_xlfn._xlws.FILTER(Score_Sheet!$AA:$AI,(Score_Sheet!$L:$L=Sheet1!$B$1)*(Score_Sheet!$A:$A=Sheet1!$A141),"NA"))</f>
        <v/>
      </c>
    </row>
    <row r="142" spans="5:11" ht="18">
      <c r="E142" s="11" t="str" cm="1">
        <f t="array" ref="E142">IF(ISBLANK($A142),"",_xlfn._xlws.FILTER(Score_Sheet!$F:$K,(Score_Sheet!$L:$L=Sheet1!$B$1)*(Score_Sheet!$A:$A=Sheet1!$A142),"NA"))</f>
        <v/>
      </c>
      <c r="F142" s="11"/>
      <c r="G142" s="11"/>
      <c r="H142" s="11"/>
      <c r="I142" s="11"/>
      <c r="J142" s="10"/>
      <c r="K142" s="9" t="str" cm="1">
        <f t="array" ref="K142">IF(ISBLANK($A142),"",_xlfn._xlws.FILTER(Score_Sheet!$AA:$AI,(Score_Sheet!$L:$L=Sheet1!$B$1)*(Score_Sheet!$A:$A=Sheet1!$A142),"NA"))</f>
        <v/>
      </c>
    </row>
    <row r="143" spans="5:11" ht="18">
      <c r="E143" s="11" t="str" cm="1">
        <f t="array" ref="E143">IF(ISBLANK($A143),"",_xlfn._xlws.FILTER(Score_Sheet!$F:$K,(Score_Sheet!$L:$L=Sheet1!$B$1)*(Score_Sheet!$A:$A=Sheet1!$A143),"NA"))</f>
        <v/>
      </c>
      <c r="F143" s="11"/>
      <c r="G143" s="11"/>
      <c r="H143" s="11"/>
      <c r="I143" s="11"/>
      <c r="J143" s="10"/>
      <c r="K143" s="9" t="str" cm="1">
        <f t="array" ref="K143">IF(ISBLANK($A143),"",_xlfn._xlws.FILTER(Score_Sheet!$AA:$AI,(Score_Sheet!$L:$L=Sheet1!$B$1)*(Score_Sheet!$A:$A=Sheet1!$A143),"NA"))</f>
        <v/>
      </c>
    </row>
    <row r="144" spans="5:11" ht="18">
      <c r="E144" s="11" t="str" cm="1">
        <f t="array" ref="E144">IF(ISBLANK($A144),"",_xlfn._xlws.FILTER(Score_Sheet!$F:$K,(Score_Sheet!$L:$L=Sheet1!$B$1)*(Score_Sheet!$A:$A=Sheet1!$A144),"NA"))</f>
        <v/>
      </c>
      <c r="F144" s="11"/>
      <c r="G144" s="11"/>
      <c r="H144" s="11"/>
      <c r="I144" s="11"/>
      <c r="J144" s="10"/>
      <c r="K144" s="9" t="str" cm="1">
        <f t="array" ref="K144">IF(ISBLANK($A144),"",_xlfn._xlws.FILTER(Score_Sheet!$AA:$AI,(Score_Sheet!$L:$L=Sheet1!$B$1)*(Score_Sheet!$A:$A=Sheet1!$A144),"NA"))</f>
        <v/>
      </c>
    </row>
    <row r="145" spans="5:11" ht="18">
      <c r="E145" s="11" t="str" cm="1">
        <f t="array" ref="E145">IF(ISBLANK($A145),"",_xlfn._xlws.FILTER(Score_Sheet!$F:$K,(Score_Sheet!$L:$L=Sheet1!$B$1)*(Score_Sheet!$A:$A=Sheet1!$A145),"NA"))</f>
        <v/>
      </c>
      <c r="F145" s="11"/>
      <c r="G145" s="11"/>
      <c r="H145" s="11"/>
      <c r="I145" s="11"/>
      <c r="J145" s="10"/>
      <c r="K145" s="9" t="str" cm="1">
        <f t="array" ref="K145">IF(ISBLANK($A145),"",_xlfn._xlws.FILTER(Score_Sheet!$AA:$AI,(Score_Sheet!$L:$L=Sheet1!$B$1)*(Score_Sheet!$A:$A=Sheet1!$A145),"NA"))</f>
        <v/>
      </c>
    </row>
    <row r="146" spans="5:11" ht="18">
      <c r="E146" s="11" t="str" cm="1">
        <f t="array" ref="E146">IF(ISBLANK($A146),"",_xlfn._xlws.FILTER(Score_Sheet!$F:$K,(Score_Sheet!$L:$L=Sheet1!$B$1)*(Score_Sheet!$A:$A=Sheet1!$A146),"NA"))</f>
        <v/>
      </c>
      <c r="F146" s="11"/>
      <c r="G146" s="11"/>
      <c r="H146" s="11"/>
      <c r="I146" s="11"/>
      <c r="J146" s="10"/>
      <c r="K146" s="9" t="str" cm="1">
        <f t="array" ref="K146">IF(ISBLANK($A146),"",_xlfn._xlws.FILTER(Score_Sheet!$AA:$AI,(Score_Sheet!$L:$L=Sheet1!$B$1)*(Score_Sheet!$A:$A=Sheet1!$A146),"NA"))</f>
        <v/>
      </c>
    </row>
    <row r="147" spans="5:11" ht="18">
      <c r="E147" s="11" t="str" cm="1">
        <f t="array" ref="E147">IF(ISBLANK($A147),"",_xlfn._xlws.FILTER(Score_Sheet!$F:$K,(Score_Sheet!$L:$L=Sheet1!$B$1)*(Score_Sheet!$A:$A=Sheet1!$A147),"NA"))</f>
        <v/>
      </c>
      <c r="F147" s="11"/>
      <c r="G147" s="11"/>
      <c r="H147" s="11"/>
      <c r="I147" s="11"/>
      <c r="J147" s="10"/>
      <c r="K147" s="9" t="str" cm="1">
        <f t="array" ref="K147">IF(ISBLANK($A147),"",_xlfn._xlws.FILTER(Score_Sheet!$AA:$AI,(Score_Sheet!$L:$L=Sheet1!$B$1)*(Score_Sheet!$A:$A=Sheet1!$A147),"NA"))</f>
        <v/>
      </c>
    </row>
    <row r="148" spans="5:11" ht="18">
      <c r="E148" s="11" t="str" cm="1">
        <f t="array" ref="E148">IF(ISBLANK($A148),"",_xlfn._xlws.FILTER(Score_Sheet!$F:$K,(Score_Sheet!$L:$L=Sheet1!$B$1)*(Score_Sheet!$A:$A=Sheet1!$A148),"NA"))</f>
        <v/>
      </c>
      <c r="F148" s="11"/>
      <c r="G148" s="11"/>
      <c r="H148" s="11"/>
      <c r="I148" s="11"/>
      <c r="J148" s="10"/>
      <c r="K148" s="9" t="str" cm="1">
        <f t="array" ref="K148">IF(ISBLANK($A148),"",_xlfn._xlws.FILTER(Score_Sheet!$AA:$AI,(Score_Sheet!$L:$L=Sheet1!$B$1)*(Score_Sheet!$A:$A=Sheet1!$A148),"NA"))</f>
        <v/>
      </c>
    </row>
    <row r="149" spans="5:11" ht="18">
      <c r="E149" s="11" t="str" cm="1">
        <f t="array" ref="E149">IF(ISBLANK($A149),"",_xlfn._xlws.FILTER(Score_Sheet!$F:$K,(Score_Sheet!$L:$L=Sheet1!$B$1)*(Score_Sheet!$A:$A=Sheet1!$A149),"NA"))</f>
        <v/>
      </c>
      <c r="F149" s="11"/>
      <c r="G149" s="11"/>
      <c r="H149" s="11"/>
      <c r="I149" s="11"/>
      <c r="J149" s="10"/>
      <c r="K149" s="9" t="str" cm="1">
        <f t="array" ref="K149">IF(ISBLANK($A149),"",_xlfn._xlws.FILTER(Score_Sheet!$AA:$AI,(Score_Sheet!$L:$L=Sheet1!$B$1)*(Score_Sheet!$A:$A=Sheet1!$A149),"NA"))</f>
        <v/>
      </c>
    </row>
    <row r="150" spans="5:11" ht="18">
      <c r="E150" s="11" t="str" cm="1">
        <f t="array" ref="E150">IF(ISBLANK($A150),"",_xlfn._xlws.FILTER(Score_Sheet!$F:$K,(Score_Sheet!$L:$L=Sheet1!$B$1)*(Score_Sheet!$A:$A=Sheet1!$A150),"NA"))</f>
        <v/>
      </c>
      <c r="F150" s="11"/>
      <c r="G150" s="11"/>
      <c r="H150" s="11"/>
      <c r="I150" s="11"/>
      <c r="J150" s="10"/>
      <c r="K150" s="9" t="str" cm="1">
        <f t="array" ref="K150">IF(ISBLANK($A150),"",_xlfn._xlws.FILTER(Score_Sheet!$AA:$AI,(Score_Sheet!$L:$L=Sheet1!$B$1)*(Score_Sheet!$A:$A=Sheet1!$A150),"NA"))</f>
        <v/>
      </c>
    </row>
    <row r="151" spans="5:11" ht="18">
      <c r="E151" s="11" t="str" cm="1">
        <f t="array" ref="E151">IF(ISBLANK($A151),"",_xlfn._xlws.FILTER(Score_Sheet!$F:$K,(Score_Sheet!$L:$L=Sheet1!$B$1)*(Score_Sheet!$A:$A=Sheet1!$A151),"NA"))</f>
        <v/>
      </c>
      <c r="F151" s="11"/>
      <c r="G151" s="11"/>
      <c r="H151" s="11"/>
      <c r="I151" s="11"/>
      <c r="J151" s="10"/>
      <c r="K151" s="9" t="str" cm="1">
        <f t="array" ref="K151">IF(ISBLANK($A151),"",_xlfn._xlws.FILTER(Score_Sheet!$AA:$AI,(Score_Sheet!$L:$L=Sheet1!$B$1)*(Score_Sheet!$A:$A=Sheet1!$A151),"NA"))</f>
        <v/>
      </c>
    </row>
    <row r="152" spans="5:11" ht="18">
      <c r="E152" s="11" t="str" cm="1">
        <f t="array" ref="E152">IF(ISBLANK($A152),"",_xlfn._xlws.FILTER(Score_Sheet!$F:$K,(Score_Sheet!$L:$L=Sheet1!$B$1)*(Score_Sheet!$A:$A=Sheet1!$A152),"NA"))</f>
        <v/>
      </c>
      <c r="F152" s="11"/>
      <c r="G152" s="11"/>
      <c r="H152" s="11"/>
      <c r="I152" s="11"/>
      <c r="J152" s="10"/>
      <c r="K152" s="9" t="str" cm="1">
        <f t="array" ref="K152">IF(ISBLANK($A152),"",_xlfn._xlws.FILTER(Score_Sheet!$AA:$AI,(Score_Sheet!$L:$L=Sheet1!$B$1)*(Score_Sheet!$A:$A=Sheet1!$A152),"NA"))</f>
        <v/>
      </c>
    </row>
    <row r="153" spans="5:11" ht="18">
      <c r="E153" s="11" t="str" cm="1">
        <f t="array" ref="E153">IF(ISBLANK($A153),"",_xlfn._xlws.FILTER(Score_Sheet!$F:$K,(Score_Sheet!$L:$L=Sheet1!$B$1)*(Score_Sheet!$A:$A=Sheet1!$A153),"NA"))</f>
        <v/>
      </c>
      <c r="F153" s="11"/>
      <c r="G153" s="11"/>
      <c r="H153" s="11"/>
      <c r="I153" s="11"/>
      <c r="J153" s="10"/>
      <c r="K153" s="9" t="str" cm="1">
        <f t="array" ref="K153">IF(ISBLANK($A153),"",_xlfn._xlws.FILTER(Score_Sheet!$AA:$AI,(Score_Sheet!$L:$L=Sheet1!$B$1)*(Score_Sheet!$A:$A=Sheet1!$A153),"NA"))</f>
        <v/>
      </c>
    </row>
    <row r="154" spans="5:11" ht="18">
      <c r="E154" s="11" t="str" cm="1">
        <f t="array" ref="E154">IF(ISBLANK($A154),"",_xlfn._xlws.FILTER(Score_Sheet!$F:$K,(Score_Sheet!$L:$L=Sheet1!$B$1)*(Score_Sheet!$A:$A=Sheet1!$A154),"NA"))</f>
        <v/>
      </c>
      <c r="F154" s="11"/>
      <c r="G154" s="11"/>
      <c r="H154" s="11"/>
      <c r="I154" s="11"/>
      <c r="J154" s="10"/>
      <c r="K154" s="9" t="str" cm="1">
        <f t="array" ref="K154">IF(ISBLANK($A154),"",_xlfn._xlws.FILTER(Score_Sheet!$AA:$AI,(Score_Sheet!$L:$L=Sheet1!$B$1)*(Score_Sheet!$A:$A=Sheet1!$A154),"NA"))</f>
        <v/>
      </c>
    </row>
    <row r="155" spans="5:11" ht="18">
      <c r="E155" s="11" t="str" cm="1">
        <f t="array" ref="E155">IF(ISBLANK($A155),"",_xlfn._xlws.FILTER(Score_Sheet!$F:$K,(Score_Sheet!$L:$L=Sheet1!$B$1)*(Score_Sheet!$A:$A=Sheet1!$A155),"NA"))</f>
        <v/>
      </c>
      <c r="F155" s="11"/>
      <c r="G155" s="11"/>
      <c r="H155" s="11"/>
      <c r="I155" s="11"/>
      <c r="J155" s="10"/>
      <c r="K155" s="9" t="str" cm="1">
        <f t="array" ref="K155">IF(ISBLANK($A155),"",_xlfn._xlws.FILTER(Score_Sheet!$AA:$AI,(Score_Sheet!$L:$L=Sheet1!$B$1)*(Score_Sheet!$A:$A=Sheet1!$A155),"NA"))</f>
        <v/>
      </c>
    </row>
    <row r="156" spans="5:11" ht="18">
      <c r="E156" s="11" t="str" cm="1">
        <f t="array" ref="E156">IF(ISBLANK($A156),"",_xlfn._xlws.FILTER(Score_Sheet!$F:$K,(Score_Sheet!$L:$L=Sheet1!$B$1)*(Score_Sheet!$A:$A=Sheet1!$A156),"NA"))</f>
        <v/>
      </c>
      <c r="F156" s="11"/>
      <c r="G156" s="11"/>
      <c r="H156" s="11"/>
      <c r="I156" s="11"/>
      <c r="J156" s="10"/>
      <c r="K156" s="9" t="str" cm="1">
        <f t="array" ref="K156">IF(ISBLANK($A156),"",_xlfn._xlws.FILTER(Score_Sheet!$AA:$AI,(Score_Sheet!$L:$L=Sheet1!$B$1)*(Score_Sheet!$A:$A=Sheet1!$A156),"NA"))</f>
        <v/>
      </c>
    </row>
    <row r="157" spans="5:11" ht="18">
      <c r="E157" s="11" t="str" cm="1">
        <f t="array" ref="E157">IF(ISBLANK($A157),"",_xlfn._xlws.FILTER(Score_Sheet!$F:$K,(Score_Sheet!$L:$L=Sheet1!$B$1)*(Score_Sheet!$A:$A=Sheet1!$A157),"NA"))</f>
        <v/>
      </c>
      <c r="F157" s="11"/>
      <c r="G157" s="11"/>
      <c r="H157" s="11"/>
      <c r="I157" s="11"/>
      <c r="J157" s="10"/>
      <c r="K157" s="9" t="str" cm="1">
        <f t="array" ref="K157">IF(ISBLANK($A157),"",_xlfn._xlws.FILTER(Score_Sheet!$AA:$AI,(Score_Sheet!$L:$L=Sheet1!$B$1)*(Score_Sheet!$A:$A=Sheet1!$A157),"NA"))</f>
        <v/>
      </c>
    </row>
    <row r="158" spans="5:11" ht="18">
      <c r="E158" s="11" t="str" cm="1">
        <f t="array" ref="E158">IF(ISBLANK($A158),"",_xlfn._xlws.FILTER(Score_Sheet!$F:$K,(Score_Sheet!$L:$L=Sheet1!$B$1)*(Score_Sheet!$A:$A=Sheet1!$A158),"NA"))</f>
        <v/>
      </c>
      <c r="F158" s="11"/>
      <c r="G158" s="11"/>
      <c r="H158" s="11"/>
      <c r="I158" s="11"/>
      <c r="J158" s="10"/>
      <c r="K158" s="9" t="str" cm="1">
        <f t="array" ref="K158">IF(ISBLANK($A158),"",_xlfn._xlws.FILTER(Score_Sheet!$AA:$AI,(Score_Sheet!$L:$L=Sheet1!$B$1)*(Score_Sheet!$A:$A=Sheet1!$A158),"NA"))</f>
        <v/>
      </c>
    </row>
    <row r="159" spans="5:11" ht="18">
      <c r="E159" s="11" t="str" cm="1">
        <f t="array" ref="E159">IF(ISBLANK($A159),"",_xlfn._xlws.FILTER(Score_Sheet!$F:$K,(Score_Sheet!$L:$L=Sheet1!$B$1)*(Score_Sheet!$A:$A=Sheet1!$A159),"NA"))</f>
        <v/>
      </c>
      <c r="F159" s="11"/>
      <c r="G159" s="11"/>
      <c r="H159" s="11"/>
      <c r="I159" s="11"/>
      <c r="J159" s="10"/>
      <c r="K159" s="9" t="str" cm="1">
        <f t="array" ref="K159">IF(ISBLANK($A159),"",_xlfn._xlws.FILTER(Score_Sheet!$AA:$AI,(Score_Sheet!$L:$L=Sheet1!$B$1)*(Score_Sheet!$A:$A=Sheet1!$A159),"NA"))</f>
        <v/>
      </c>
    </row>
    <row r="160" spans="5:11" ht="18">
      <c r="E160" s="11" t="str" cm="1">
        <f t="array" ref="E160">IF(ISBLANK($A160),"",_xlfn._xlws.FILTER(Score_Sheet!$F:$K,(Score_Sheet!$L:$L=Sheet1!$B$1)*(Score_Sheet!$A:$A=Sheet1!$A160),"NA"))</f>
        <v/>
      </c>
      <c r="F160" s="11"/>
      <c r="G160" s="11"/>
      <c r="H160" s="11"/>
      <c r="I160" s="11"/>
      <c r="J160" s="10"/>
      <c r="K160" s="9" t="str" cm="1">
        <f t="array" ref="K160">IF(ISBLANK($A160),"",_xlfn._xlws.FILTER(Score_Sheet!$AA:$AI,(Score_Sheet!$L:$L=Sheet1!$B$1)*(Score_Sheet!$A:$A=Sheet1!$A160),"NA"))</f>
        <v/>
      </c>
    </row>
    <row r="161" spans="5:11" ht="18">
      <c r="E161" s="11" t="str" cm="1">
        <f t="array" ref="E161">IF(ISBLANK($A161),"",_xlfn._xlws.FILTER(Score_Sheet!$F:$K,(Score_Sheet!$L:$L=Sheet1!$B$1)*(Score_Sheet!$A:$A=Sheet1!$A161),"NA"))</f>
        <v/>
      </c>
      <c r="F161" s="11"/>
      <c r="G161" s="11"/>
      <c r="H161" s="11"/>
      <c r="I161" s="11"/>
      <c r="J161" s="10"/>
      <c r="K161" s="9" t="str" cm="1">
        <f t="array" ref="K161">IF(ISBLANK($A161),"",_xlfn._xlws.FILTER(Score_Sheet!$AA:$AI,(Score_Sheet!$L:$L=Sheet1!$B$1)*(Score_Sheet!$A:$A=Sheet1!$A161),"NA"))</f>
        <v/>
      </c>
    </row>
    <row r="162" spans="5:11" ht="18">
      <c r="E162" s="11" t="str" cm="1">
        <f t="array" ref="E162">IF(ISBLANK($A162),"",_xlfn._xlws.FILTER(Score_Sheet!$F:$K,(Score_Sheet!$L:$L=Sheet1!$B$1)*(Score_Sheet!$A:$A=Sheet1!$A162),"NA"))</f>
        <v/>
      </c>
      <c r="F162" s="11"/>
      <c r="G162" s="11"/>
      <c r="H162" s="11"/>
      <c r="I162" s="11"/>
      <c r="J162" s="10"/>
      <c r="K162" s="9" t="str" cm="1">
        <f t="array" ref="K162">IF(ISBLANK($A162),"",_xlfn._xlws.FILTER(Score_Sheet!$AA:$AI,(Score_Sheet!$L:$L=Sheet1!$B$1)*(Score_Sheet!$A:$A=Sheet1!$A162),"NA"))</f>
        <v/>
      </c>
    </row>
    <row r="163" spans="5:11" ht="18">
      <c r="E163" s="11" t="str" cm="1">
        <f t="array" ref="E163">IF(ISBLANK($A163),"",_xlfn._xlws.FILTER(Score_Sheet!$F:$K,(Score_Sheet!$L:$L=Sheet1!$B$1)*(Score_Sheet!$A:$A=Sheet1!$A163),"NA"))</f>
        <v/>
      </c>
      <c r="F163" s="11"/>
      <c r="G163" s="11"/>
      <c r="H163" s="11"/>
      <c r="I163" s="11"/>
      <c r="J163" s="10"/>
      <c r="K163" s="9" t="str" cm="1">
        <f t="array" ref="K163">IF(ISBLANK($A163),"",_xlfn._xlws.FILTER(Score_Sheet!$AA:$AI,(Score_Sheet!$L:$L=Sheet1!$B$1)*(Score_Sheet!$A:$A=Sheet1!$A163),"NA"))</f>
        <v/>
      </c>
    </row>
    <row r="164" spans="5:11" ht="18">
      <c r="E164" s="11" t="str" cm="1">
        <f t="array" ref="E164">IF(ISBLANK($A164),"",_xlfn._xlws.FILTER(Score_Sheet!$F:$K,(Score_Sheet!$L:$L=Sheet1!$B$1)*(Score_Sheet!$A:$A=Sheet1!$A164),"NA"))</f>
        <v/>
      </c>
      <c r="F164" s="11"/>
      <c r="G164" s="11"/>
      <c r="H164" s="11"/>
      <c r="I164" s="11"/>
      <c r="J164" s="10"/>
      <c r="K164" s="9" t="str" cm="1">
        <f t="array" ref="K164">IF(ISBLANK($A164),"",_xlfn._xlws.FILTER(Score_Sheet!$AA:$AI,(Score_Sheet!$L:$L=Sheet1!$B$1)*(Score_Sheet!$A:$A=Sheet1!$A164),"NA"))</f>
        <v/>
      </c>
    </row>
    <row r="165" spans="5:11" ht="18">
      <c r="E165" s="11" t="str" cm="1">
        <f t="array" ref="E165">IF(ISBLANK($A165),"",_xlfn._xlws.FILTER(Score_Sheet!$F:$K,(Score_Sheet!$L:$L=Sheet1!$B$1)*(Score_Sheet!$A:$A=Sheet1!$A165),"NA"))</f>
        <v/>
      </c>
      <c r="F165" s="11"/>
      <c r="G165" s="11"/>
      <c r="H165" s="11"/>
      <c r="I165" s="11"/>
      <c r="J165" s="10"/>
      <c r="K165" s="9" t="str" cm="1">
        <f t="array" ref="K165">IF(ISBLANK($A165),"",_xlfn._xlws.FILTER(Score_Sheet!$AA:$AI,(Score_Sheet!$L:$L=Sheet1!$B$1)*(Score_Sheet!$A:$A=Sheet1!$A165),"NA"))</f>
        <v/>
      </c>
    </row>
    <row r="166" spans="5:11" ht="18">
      <c r="E166" s="11" t="str" cm="1">
        <f t="array" ref="E166">IF(ISBLANK($A166),"",_xlfn._xlws.FILTER(Score_Sheet!$F:$K,(Score_Sheet!$L:$L=Sheet1!$B$1)*(Score_Sheet!$A:$A=Sheet1!$A166),"NA"))</f>
        <v/>
      </c>
      <c r="F166" s="11"/>
      <c r="G166" s="11"/>
      <c r="H166" s="11"/>
      <c r="I166" s="11"/>
      <c r="J166" s="10"/>
      <c r="K166" s="9" t="str" cm="1">
        <f t="array" ref="K166">IF(ISBLANK($A166),"",_xlfn._xlws.FILTER(Score_Sheet!$AA:$AI,(Score_Sheet!$L:$L=Sheet1!$B$1)*(Score_Sheet!$A:$A=Sheet1!$A166),"NA"))</f>
        <v/>
      </c>
    </row>
    <row r="167" spans="5:11" ht="18">
      <c r="E167" s="11" t="str" cm="1">
        <f t="array" ref="E167">IF(ISBLANK($A167),"",_xlfn._xlws.FILTER(Score_Sheet!$F:$K,(Score_Sheet!$L:$L=Sheet1!$B$1)*(Score_Sheet!$A:$A=Sheet1!$A167),"NA"))</f>
        <v/>
      </c>
      <c r="F167" s="11"/>
      <c r="G167" s="11"/>
      <c r="H167" s="11"/>
      <c r="I167" s="11"/>
      <c r="J167" s="10"/>
      <c r="K167" s="9" t="str" cm="1">
        <f t="array" ref="K167">IF(ISBLANK($A167),"",_xlfn._xlws.FILTER(Score_Sheet!$AA:$AI,(Score_Sheet!$L:$L=Sheet1!$B$1)*(Score_Sheet!$A:$A=Sheet1!$A167),"NA"))</f>
        <v/>
      </c>
    </row>
    <row r="168" spans="5:11" ht="18">
      <c r="E168" s="11" t="str" cm="1">
        <f t="array" ref="E168">IF(ISBLANK($A168),"",_xlfn._xlws.FILTER(Score_Sheet!$F:$K,(Score_Sheet!$L:$L=Sheet1!$B$1)*(Score_Sheet!$A:$A=Sheet1!$A168),"NA"))</f>
        <v/>
      </c>
      <c r="F168" s="11"/>
      <c r="G168" s="11"/>
      <c r="H168" s="11"/>
      <c r="I168" s="11"/>
      <c r="J168" s="10"/>
      <c r="K168" s="9" t="str" cm="1">
        <f t="array" ref="K168">IF(ISBLANK($A168),"",_xlfn._xlws.FILTER(Score_Sheet!$AA:$AI,(Score_Sheet!$L:$L=Sheet1!$B$1)*(Score_Sheet!$A:$A=Sheet1!$A168),"NA"))</f>
        <v/>
      </c>
    </row>
    <row r="169" spans="5:11" ht="18">
      <c r="E169" s="11" t="str" cm="1">
        <f t="array" ref="E169">IF(ISBLANK($A169),"",_xlfn._xlws.FILTER(Score_Sheet!$F:$K,(Score_Sheet!$L:$L=Sheet1!$B$1)*(Score_Sheet!$A:$A=Sheet1!$A169),"NA"))</f>
        <v/>
      </c>
      <c r="F169" s="11"/>
      <c r="G169" s="11"/>
      <c r="H169" s="11"/>
      <c r="I169" s="11"/>
      <c r="J169" s="10"/>
      <c r="K169" s="9" t="str" cm="1">
        <f t="array" ref="K169">IF(ISBLANK($A169),"",_xlfn._xlws.FILTER(Score_Sheet!$AA:$AI,(Score_Sheet!$L:$L=Sheet1!$B$1)*(Score_Sheet!$A:$A=Sheet1!$A169),"NA"))</f>
        <v/>
      </c>
    </row>
    <row r="170" spans="5:11" ht="18">
      <c r="E170" s="11" t="str" cm="1">
        <f t="array" ref="E170">IF(ISBLANK($A170),"",_xlfn._xlws.FILTER(Score_Sheet!$F:$K,(Score_Sheet!$L:$L=Sheet1!$B$1)*(Score_Sheet!$A:$A=Sheet1!$A170),"NA"))</f>
        <v/>
      </c>
      <c r="F170" s="11"/>
      <c r="G170" s="11"/>
      <c r="H170" s="11"/>
      <c r="I170" s="11"/>
      <c r="J170" s="10"/>
      <c r="K170" s="9" t="str" cm="1">
        <f t="array" ref="K170">IF(ISBLANK($A170),"",_xlfn._xlws.FILTER(Score_Sheet!$AA:$AI,(Score_Sheet!$L:$L=Sheet1!$B$1)*(Score_Sheet!$A:$A=Sheet1!$A170),"NA"))</f>
        <v/>
      </c>
    </row>
    <row r="171" spans="5:11" ht="18">
      <c r="E171" s="11" t="str" cm="1">
        <f t="array" ref="E171">IF(ISBLANK($A171),"",_xlfn._xlws.FILTER(Score_Sheet!$F:$K,(Score_Sheet!$L:$L=Sheet1!$B$1)*(Score_Sheet!$A:$A=Sheet1!$A171),"NA"))</f>
        <v/>
      </c>
      <c r="F171" s="11"/>
      <c r="G171" s="11"/>
      <c r="H171" s="11"/>
      <c r="I171" s="11"/>
      <c r="J171" s="10"/>
      <c r="K171" s="9" t="str" cm="1">
        <f t="array" ref="K171">IF(ISBLANK($A171),"",_xlfn._xlws.FILTER(Score_Sheet!$AA:$AI,(Score_Sheet!$L:$L=Sheet1!$B$1)*(Score_Sheet!$A:$A=Sheet1!$A171),"NA"))</f>
        <v/>
      </c>
    </row>
    <row r="172" spans="5:11" ht="18">
      <c r="E172" s="11" t="str" cm="1">
        <f t="array" ref="E172">IF(ISBLANK($A172),"",_xlfn._xlws.FILTER(Score_Sheet!$F:$K,(Score_Sheet!$L:$L=Sheet1!$B$1)*(Score_Sheet!$A:$A=Sheet1!$A172),"NA"))</f>
        <v/>
      </c>
      <c r="F172" s="11"/>
      <c r="G172" s="11"/>
      <c r="H172" s="11"/>
      <c r="I172" s="11"/>
      <c r="J172" s="10"/>
      <c r="K172" s="9" t="str" cm="1">
        <f t="array" ref="K172">IF(ISBLANK($A172),"",_xlfn._xlws.FILTER(Score_Sheet!$AA:$AI,(Score_Sheet!$L:$L=Sheet1!$B$1)*(Score_Sheet!$A:$A=Sheet1!$A172),"NA"))</f>
        <v/>
      </c>
    </row>
    <row r="173" spans="5:11" ht="18">
      <c r="E173" s="11" t="str" cm="1">
        <f t="array" ref="E173">IF(ISBLANK($A173),"",_xlfn._xlws.FILTER(Score_Sheet!$F:$K,(Score_Sheet!$L:$L=Sheet1!$B$1)*(Score_Sheet!$A:$A=Sheet1!$A173),"NA"))</f>
        <v/>
      </c>
      <c r="F173" s="11"/>
      <c r="G173" s="11"/>
      <c r="H173" s="11"/>
      <c r="I173" s="11"/>
      <c r="J173" s="10"/>
      <c r="K173" s="9" t="str" cm="1">
        <f t="array" ref="K173">IF(ISBLANK($A173),"",_xlfn._xlws.FILTER(Score_Sheet!$AA:$AI,(Score_Sheet!$L:$L=Sheet1!$B$1)*(Score_Sheet!$A:$A=Sheet1!$A173),"NA"))</f>
        <v/>
      </c>
    </row>
    <row r="174" spans="5:11" ht="18">
      <c r="E174" s="11" t="str" cm="1">
        <f t="array" ref="E174">IF(ISBLANK($A174),"",_xlfn._xlws.FILTER(Score_Sheet!$F:$K,(Score_Sheet!$L:$L=Sheet1!$B$1)*(Score_Sheet!$A:$A=Sheet1!$A174),"NA"))</f>
        <v/>
      </c>
      <c r="F174" s="11"/>
      <c r="G174" s="11"/>
      <c r="H174" s="11"/>
      <c r="I174" s="11"/>
      <c r="J174" s="10"/>
      <c r="K174" s="9" t="str" cm="1">
        <f t="array" ref="K174">IF(ISBLANK($A174),"",_xlfn._xlws.FILTER(Score_Sheet!$AA:$AI,(Score_Sheet!$L:$L=Sheet1!$B$1)*(Score_Sheet!$A:$A=Sheet1!$A174),"NA"))</f>
        <v/>
      </c>
    </row>
    <row r="175" spans="5:11" ht="18">
      <c r="E175" s="11" t="str" cm="1">
        <f t="array" ref="E175">IF(ISBLANK($A175),"",_xlfn._xlws.FILTER(Score_Sheet!$F:$K,(Score_Sheet!$L:$L=Sheet1!$B$1)*(Score_Sheet!$A:$A=Sheet1!$A175),"NA"))</f>
        <v/>
      </c>
      <c r="F175" s="11"/>
      <c r="G175" s="11"/>
      <c r="H175" s="11"/>
      <c r="I175" s="11"/>
      <c r="J175" s="10"/>
      <c r="K175" s="9" t="str" cm="1">
        <f t="array" ref="K175">IF(ISBLANK($A175),"",_xlfn._xlws.FILTER(Score_Sheet!$AA:$AI,(Score_Sheet!$L:$L=Sheet1!$B$1)*(Score_Sheet!$A:$A=Sheet1!$A175),"NA"))</f>
        <v/>
      </c>
    </row>
    <row r="176" spans="5:11" ht="18">
      <c r="E176" s="11" t="str" cm="1">
        <f t="array" ref="E176">IF(ISBLANK($A176),"",_xlfn._xlws.FILTER(Score_Sheet!$F:$K,(Score_Sheet!$L:$L=Sheet1!$B$1)*(Score_Sheet!$A:$A=Sheet1!$A176),"NA"))</f>
        <v/>
      </c>
      <c r="F176" s="11"/>
      <c r="G176" s="11"/>
      <c r="H176" s="11"/>
      <c r="I176" s="11"/>
      <c r="J176" s="10"/>
      <c r="K176" s="9" t="str" cm="1">
        <f t="array" ref="K176">IF(ISBLANK($A176),"",_xlfn._xlws.FILTER(Score_Sheet!$AA:$AI,(Score_Sheet!$L:$L=Sheet1!$B$1)*(Score_Sheet!$A:$A=Sheet1!$A176),"NA"))</f>
        <v/>
      </c>
    </row>
    <row r="177" spans="5:11" ht="18">
      <c r="E177" s="11" t="str" cm="1">
        <f t="array" ref="E177">IF(ISBLANK($A177),"",_xlfn._xlws.FILTER(Score_Sheet!$F:$K,(Score_Sheet!$L:$L=Sheet1!$B$1)*(Score_Sheet!$A:$A=Sheet1!$A177),"NA"))</f>
        <v/>
      </c>
      <c r="F177" s="11"/>
      <c r="G177" s="11"/>
      <c r="H177" s="11"/>
      <c r="I177" s="11"/>
      <c r="J177" s="10"/>
      <c r="K177" s="9" t="str" cm="1">
        <f t="array" ref="K177">IF(ISBLANK($A177),"",_xlfn._xlws.FILTER(Score_Sheet!$AA:$AI,(Score_Sheet!$L:$L=Sheet1!$B$1)*(Score_Sheet!$A:$A=Sheet1!$A177),"NA"))</f>
        <v/>
      </c>
    </row>
    <row r="178" spans="5:11" ht="18">
      <c r="E178" s="11" t="str" cm="1">
        <f t="array" ref="E178">IF(ISBLANK($A178),"",_xlfn._xlws.FILTER(Score_Sheet!$F:$K,(Score_Sheet!$L:$L=Sheet1!$B$1)*(Score_Sheet!$A:$A=Sheet1!$A178),"NA"))</f>
        <v/>
      </c>
      <c r="F178" s="11"/>
      <c r="G178" s="11"/>
      <c r="H178" s="11"/>
      <c r="I178" s="11"/>
      <c r="J178" s="10"/>
      <c r="K178" s="9" t="str" cm="1">
        <f t="array" ref="K178">IF(ISBLANK($A178),"",_xlfn._xlws.FILTER(Score_Sheet!$AA:$AI,(Score_Sheet!$L:$L=Sheet1!$B$1)*(Score_Sheet!$A:$A=Sheet1!$A178),"NA"))</f>
        <v/>
      </c>
    </row>
    <row r="179" spans="5:11" ht="18">
      <c r="E179" s="11" t="str" cm="1">
        <f t="array" ref="E179">IF(ISBLANK($A179),"",_xlfn._xlws.FILTER(Score_Sheet!$F:$K,(Score_Sheet!$L:$L=Sheet1!$B$1)*(Score_Sheet!$A:$A=Sheet1!$A179),"NA"))</f>
        <v/>
      </c>
      <c r="F179" s="11"/>
      <c r="G179" s="11"/>
      <c r="H179" s="11"/>
      <c r="I179" s="11"/>
      <c r="J179" s="10"/>
      <c r="K179" s="9" t="str" cm="1">
        <f t="array" ref="K179">IF(ISBLANK($A179),"",_xlfn._xlws.FILTER(Score_Sheet!$AA:$AI,(Score_Sheet!$L:$L=Sheet1!$B$1)*(Score_Sheet!$A:$A=Sheet1!$A179),"NA"))</f>
        <v/>
      </c>
    </row>
    <row r="180" spans="5:11" ht="18">
      <c r="E180" s="11" t="str" cm="1">
        <f t="array" ref="E180">IF(ISBLANK($A180),"",_xlfn._xlws.FILTER(Score_Sheet!$F:$K,(Score_Sheet!$L:$L=Sheet1!$B$1)*(Score_Sheet!$A:$A=Sheet1!$A180),"NA"))</f>
        <v/>
      </c>
      <c r="F180" s="11"/>
      <c r="G180" s="11"/>
      <c r="H180" s="11"/>
      <c r="I180" s="11"/>
      <c r="J180" s="10"/>
      <c r="K180" s="9" t="str" cm="1">
        <f t="array" ref="K180">IF(ISBLANK($A180),"",_xlfn._xlws.FILTER(Score_Sheet!$AA:$AI,(Score_Sheet!$L:$L=Sheet1!$B$1)*(Score_Sheet!$A:$A=Sheet1!$A180),"NA"))</f>
        <v/>
      </c>
    </row>
    <row r="181" spans="5:11" ht="18">
      <c r="E181" s="11" t="str" cm="1">
        <f t="array" ref="E181">IF(ISBLANK($A181),"",_xlfn._xlws.FILTER(Score_Sheet!$F:$K,(Score_Sheet!$L:$L=Sheet1!$B$1)*(Score_Sheet!$A:$A=Sheet1!$A181),"NA"))</f>
        <v/>
      </c>
      <c r="F181" s="11"/>
      <c r="G181" s="11"/>
      <c r="H181" s="11"/>
      <c r="I181" s="11"/>
      <c r="J181" s="10"/>
      <c r="K181" s="9" t="str" cm="1">
        <f t="array" ref="K181">IF(ISBLANK($A181),"",_xlfn._xlws.FILTER(Score_Sheet!$AA:$AI,(Score_Sheet!$L:$L=Sheet1!$B$1)*(Score_Sheet!$A:$A=Sheet1!$A181),"NA"))</f>
        <v/>
      </c>
    </row>
    <row r="182" spans="5:11" ht="18">
      <c r="E182" s="11" t="str" cm="1">
        <f t="array" ref="E182">IF(ISBLANK($A182),"",_xlfn._xlws.FILTER(Score_Sheet!$F:$K,(Score_Sheet!$L:$L=Sheet1!$B$1)*(Score_Sheet!$A:$A=Sheet1!$A182),"NA"))</f>
        <v/>
      </c>
      <c r="F182" s="11"/>
      <c r="G182" s="11"/>
      <c r="H182" s="11"/>
      <c r="I182" s="11"/>
      <c r="J182" s="10"/>
      <c r="K182" s="9" t="str" cm="1">
        <f t="array" ref="K182">IF(ISBLANK($A182),"",_xlfn._xlws.FILTER(Score_Sheet!$AA:$AI,(Score_Sheet!$L:$L=Sheet1!$B$1)*(Score_Sheet!$A:$A=Sheet1!$A182),"NA"))</f>
        <v/>
      </c>
    </row>
    <row r="183" spans="5:11" ht="18">
      <c r="E183" s="11" t="str" cm="1">
        <f t="array" ref="E183">IF(ISBLANK($A183),"",_xlfn._xlws.FILTER(Score_Sheet!$F:$K,(Score_Sheet!$L:$L=Sheet1!$B$1)*(Score_Sheet!$A:$A=Sheet1!$A183),"NA"))</f>
        <v/>
      </c>
      <c r="F183" s="11"/>
      <c r="G183" s="11"/>
      <c r="H183" s="11"/>
      <c r="I183" s="11"/>
      <c r="J183" s="10"/>
      <c r="K183" s="9" t="str" cm="1">
        <f t="array" ref="K183">IF(ISBLANK($A183),"",_xlfn._xlws.FILTER(Score_Sheet!$AA:$AI,(Score_Sheet!$L:$L=Sheet1!$B$1)*(Score_Sheet!$A:$A=Sheet1!$A183),"NA"))</f>
        <v/>
      </c>
    </row>
    <row r="184" spans="5:11" ht="18">
      <c r="E184" s="11" t="str" cm="1">
        <f t="array" ref="E184">IF(ISBLANK($A184),"",_xlfn._xlws.FILTER(Score_Sheet!$F:$K,(Score_Sheet!$L:$L=Sheet1!$B$1)*(Score_Sheet!$A:$A=Sheet1!$A184),"NA"))</f>
        <v/>
      </c>
      <c r="F184" s="11"/>
      <c r="G184" s="11"/>
      <c r="H184" s="11"/>
      <c r="I184" s="11"/>
      <c r="J184" s="10"/>
      <c r="K184" s="9" t="str" cm="1">
        <f t="array" ref="K184">IF(ISBLANK($A184),"",_xlfn._xlws.FILTER(Score_Sheet!$AA:$AI,(Score_Sheet!$L:$L=Sheet1!$B$1)*(Score_Sheet!$A:$A=Sheet1!$A184),"NA"))</f>
        <v/>
      </c>
    </row>
    <row r="185" spans="5:11" ht="18">
      <c r="E185" s="11" t="str" cm="1">
        <f t="array" ref="E185">IF(ISBLANK($A185),"",_xlfn._xlws.FILTER(Score_Sheet!$F:$K,(Score_Sheet!$L:$L=Sheet1!$B$1)*(Score_Sheet!$A:$A=Sheet1!$A185),"NA"))</f>
        <v/>
      </c>
      <c r="F185" s="11"/>
      <c r="G185" s="11"/>
      <c r="H185" s="11"/>
      <c r="I185" s="11"/>
      <c r="J185" s="10"/>
      <c r="K185" s="9" t="str" cm="1">
        <f t="array" ref="K185">IF(ISBLANK($A185),"",_xlfn._xlws.FILTER(Score_Sheet!$AA:$AI,(Score_Sheet!$L:$L=Sheet1!$B$1)*(Score_Sheet!$A:$A=Sheet1!$A185),"NA"))</f>
        <v/>
      </c>
    </row>
    <row r="186" spans="5:11" ht="18">
      <c r="E186" s="11" t="str" cm="1">
        <f t="array" ref="E186">IF(ISBLANK($A186),"",_xlfn._xlws.FILTER(Score_Sheet!$F:$K,(Score_Sheet!$L:$L=Sheet1!$B$1)*(Score_Sheet!$A:$A=Sheet1!$A186),"NA"))</f>
        <v/>
      </c>
      <c r="F186" s="11"/>
      <c r="G186" s="11"/>
      <c r="H186" s="11"/>
      <c r="I186" s="11"/>
      <c r="J186" s="10"/>
      <c r="K186" s="9" t="str" cm="1">
        <f t="array" ref="K186">IF(ISBLANK($A186),"",_xlfn._xlws.FILTER(Score_Sheet!$AA:$AI,(Score_Sheet!$L:$L=Sheet1!$B$1)*(Score_Sheet!$A:$A=Sheet1!$A186),"NA"))</f>
        <v/>
      </c>
    </row>
    <row r="187" spans="5:11" ht="18">
      <c r="E187" s="11" t="str" cm="1">
        <f t="array" ref="E187">IF(ISBLANK($A187),"",_xlfn._xlws.FILTER(Score_Sheet!$F:$K,(Score_Sheet!$L:$L=Sheet1!$B$1)*(Score_Sheet!$A:$A=Sheet1!$A187),"NA"))</f>
        <v/>
      </c>
      <c r="F187" s="11"/>
      <c r="G187" s="11"/>
      <c r="H187" s="11"/>
      <c r="I187" s="11"/>
      <c r="J187" s="10"/>
      <c r="K187" s="9" t="str" cm="1">
        <f t="array" ref="K187">IF(ISBLANK($A187),"",_xlfn._xlws.FILTER(Score_Sheet!$AA:$AI,(Score_Sheet!$L:$L=Sheet1!$B$1)*(Score_Sheet!$A:$A=Sheet1!$A187),"NA"))</f>
        <v/>
      </c>
    </row>
    <row r="188" spans="5:11" ht="18">
      <c r="E188" s="11" t="str" cm="1">
        <f t="array" ref="E188">IF(ISBLANK($A188),"",_xlfn._xlws.FILTER(Score_Sheet!$F:$K,(Score_Sheet!$L:$L=Sheet1!$B$1)*(Score_Sheet!$A:$A=Sheet1!$A188),"NA"))</f>
        <v/>
      </c>
      <c r="F188" s="11"/>
      <c r="G188" s="11"/>
      <c r="H188" s="11"/>
      <c r="I188" s="11"/>
      <c r="J188" s="10"/>
      <c r="K188" s="9" t="str" cm="1">
        <f t="array" ref="K188">IF(ISBLANK($A188),"",_xlfn._xlws.FILTER(Score_Sheet!$AA:$AI,(Score_Sheet!$L:$L=Sheet1!$B$1)*(Score_Sheet!$A:$A=Sheet1!$A188),"NA"))</f>
        <v/>
      </c>
    </row>
    <row r="189" spans="5:11" ht="18">
      <c r="E189" s="11" t="str" cm="1">
        <f t="array" ref="E189">IF(ISBLANK($A189),"",_xlfn._xlws.FILTER(Score_Sheet!$F:$K,(Score_Sheet!$L:$L=Sheet1!$B$1)*(Score_Sheet!$A:$A=Sheet1!$A189),"NA"))</f>
        <v/>
      </c>
      <c r="F189" s="11"/>
      <c r="G189" s="11"/>
      <c r="H189" s="11"/>
      <c r="I189" s="11"/>
      <c r="J189" s="10"/>
      <c r="K189" s="9" t="str" cm="1">
        <f t="array" ref="K189">IF(ISBLANK($A189),"",_xlfn._xlws.FILTER(Score_Sheet!$AA:$AI,(Score_Sheet!$L:$L=Sheet1!$B$1)*(Score_Sheet!$A:$A=Sheet1!$A189),"NA"))</f>
        <v/>
      </c>
    </row>
    <row r="190" spans="5:11" ht="18">
      <c r="E190" s="11" t="str" cm="1">
        <f t="array" ref="E190">IF(ISBLANK($A190),"",_xlfn._xlws.FILTER(Score_Sheet!$F:$K,(Score_Sheet!$L:$L=Sheet1!$B$1)*(Score_Sheet!$A:$A=Sheet1!$A190),"NA"))</f>
        <v/>
      </c>
      <c r="F190" s="11"/>
      <c r="G190" s="11"/>
      <c r="H190" s="11"/>
      <c r="I190" s="11"/>
      <c r="J190" s="10"/>
      <c r="K190" s="9" t="str" cm="1">
        <f t="array" ref="K190">IF(ISBLANK($A190),"",_xlfn._xlws.FILTER(Score_Sheet!$AA:$AI,(Score_Sheet!$L:$L=Sheet1!$B$1)*(Score_Sheet!$A:$A=Sheet1!$A190),"NA"))</f>
        <v/>
      </c>
    </row>
    <row r="191" spans="5:11" ht="18">
      <c r="E191" s="11" t="str" cm="1">
        <f t="array" ref="E191">IF(ISBLANK($A191),"",_xlfn._xlws.FILTER(Score_Sheet!$F:$K,(Score_Sheet!$L:$L=Sheet1!$B$1)*(Score_Sheet!$A:$A=Sheet1!$A191),"NA"))</f>
        <v/>
      </c>
      <c r="F191" s="11"/>
      <c r="G191" s="11"/>
      <c r="H191" s="11"/>
      <c r="I191" s="11"/>
      <c r="J191" s="10"/>
      <c r="K191" s="9" t="str" cm="1">
        <f t="array" ref="K191">IF(ISBLANK($A191),"",_xlfn._xlws.FILTER(Score_Sheet!$AA:$AI,(Score_Sheet!$L:$L=Sheet1!$B$1)*(Score_Sheet!$A:$A=Sheet1!$A191),"NA"))</f>
        <v/>
      </c>
    </row>
    <row r="192" spans="5:11" ht="18">
      <c r="E192" s="11" t="str" cm="1">
        <f t="array" ref="E192">IF(ISBLANK($A192),"",_xlfn._xlws.FILTER(Score_Sheet!$F:$K,(Score_Sheet!$L:$L=Sheet1!$B$1)*(Score_Sheet!$A:$A=Sheet1!$A192),"NA"))</f>
        <v/>
      </c>
      <c r="F192" s="11"/>
      <c r="G192" s="11"/>
      <c r="H192" s="11"/>
      <c r="I192" s="11"/>
      <c r="J192" s="10"/>
      <c r="K192" s="9" t="str" cm="1">
        <f t="array" ref="K192">IF(ISBLANK($A192),"",_xlfn._xlws.FILTER(Score_Sheet!$AA:$AI,(Score_Sheet!$L:$L=Sheet1!$B$1)*(Score_Sheet!$A:$A=Sheet1!$A192),"NA"))</f>
        <v/>
      </c>
    </row>
    <row r="193" spans="5:11" ht="18">
      <c r="E193" s="11" t="str" cm="1">
        <f t="array" ref="E193">IF(ISBLANK($A193),"",_xlfn._xlws.FILTER(Score_Sheet!$F:$K,(Score_Sheet!$L:$L=Sheet1!$B$1)*(Score_Sheet!$A:$A=Sheet1!$A193),"NA"))</f>
        <v/>
      </c>
      <c r="F193" s="11"/>
      <c r="G193" s="11"/>
      <c r="H193" s="11"/>
      <c r="I193" s="11"/>
      <c r="J193" s="10"/>
      <c r="K193" s="9" t="str" cm="1">
        <f t="array" ref="K193">IF(ISBLANK($A193),"",_xlfn._xlws.FILTER(Score_Sheet!$AA:$AI,(Score_Sheet!$L:$L=Sheet1!$B$1)*(Score_Sheet!$A:$A=Sheet1!$A193),"NA"))</f>
        <v/>
      </c>
    </row>
    <row r="194" spans="5:11" ht="18">
      <c r="E194" s="11" t="str" cm="1">
        <f t="array" ref="E194">IF(ISBLANK($A194),"",_xlfn._xlws.FILTER(Score_Sheet!$F:$K,(Score_Sheet!$L:$L=Sheet1!$B$1)*(Score_Sheet!$A:$A=Sheet1!$A194),"NA"))</f>
        <v/>
      </c>
      <c r="F194" s="11"/>
      <c r="G194" s="11"/>
      <c r="H194" s="11"/>
      <c r="I194" s="11"/>
      <c r="J194" s="10"/>
      <c r="K194" s="9" t="str" cm="1">
        <f t="array" ref="K194">IF(ISBLANK($A194),"",_xlfn._xlws.FILTER(Score_Sheet!$AA:$AI,(Score_Sheet!$L:$L=Sheet1!$B$1)*(Score_Sheet!$A:$A=Sheet1!$A194),"NA"))</f>
        <v/>
      </c>
    </row>
    <row r="195" spans="5:11" ht="18">
      <c r="E195" s="11" t="str" cm="1">
        <f t="array" ref="E195">IF(ISBLANK($A195),"",_xlfn._xlws.FILTER(Score_Sheet!$F:$K,(Score_Sheet!$L:$L=Sheet1!$B$1)*(Score_Sheet!$A:$A=Sheet1!$A195),"NA"))</f>
        <v/>
      </c>
      <c r="F195" s="11"/>
      <c r="G195" s="11"/>
      <c r="H195" s="11"/>
      <c r="I195" s="11"/>
      <c r="J195" s="10"/>
      <c r="K195" s="9" t="str" cm="1">
        <f t="array" ref="K195">IF(ISBLANK($A195),"",_xlfn._xlws.FILTER(Score_Sheet!$AA:$AI,(Score_Sheet!$L:$L=Sheet1!$B$1)*(Score_Sheet!$A:$A=Sheet1!$A195),"NA"))</f>
        <v/>
      </c>
    </row>
    <row r="196" spans="5:11" ht="18">
      <c r="E196" s="11" t="str" cm="1">
        <f t="array" ref="E196">IF(ISBLANK($A196),"",_xlfn._xlws.FILTER(Score_Sheet!$F:$K,(Score_Sheet!$L:$L=Sheet1!$B$1)*(Score_Sheet!$A:$A=Sheet1!$A196),"NA"))</f>
        <v/>
      </c>
      <c r="F196" s="11"/>
      <c r="G196" s="11"/>
      <c r="H196" s="11"/>
      <c r="I196" s="11"/>
      <c r="J196" s="10"/>
      <c r="K196" s="9" t="str" cm="1">
        <f t="array" ref="K196">IF(ISBLANK($A196),"",_xlfn._xlws.FILTER(Score_Sheet!$AA:$AI,(Score_Sheet!$L:$L=Sheet1!$B$1)*(Score_Sheet!$A:$A=Sheet1!$A196),"NA"))</f>
        <v/>
      </c>
    </row>
    <row r="197" spans="5:11" ht="18">
      <c r="E197" s="11" t="str" cm="1">
        <f t="array" ref="E197">IF(ISBLANK($A197),"",_xlfn._xlws.FILTER(Score_Sheet!$F:$K,(Score_Sheet!$L:$L=Sheet1!$B$1)*(Score_Sheet!$A:$A=Sheet1!$A197),"NA"))</f>
        <v/>
      </c>
      <c r="F197" s="11"/>
      <c r="G197" s="11"/>
      <c r="H197" s="11"/>
      <c r="I197" s="11"/>
      <c r="J197" s="10"/>
      <c r="K197" s="9" t="str" cm="1">
        <f t="array" ref="K197">IF(ISBLANK($A197),"",_xlfn._xlws.FILTER(Score_Sheet!$AA:$AI,(Score_Sheet!$L:$L=Sheet1!$B$1)*(Score_Sheet!$A:$A=Sheet1!$A197),"NA"))</f>
        <v/>
      </c>
    </row>
    <row r="198" spans="5:11" ht="18">
      <c r="E198" s="11" t="str" cm="1">
        <f t="array" ref="E198">IF(ISBLANK($A198),"",_xlfn._xlws.FILTER(Score_Sheet!$F:$K,(Score_Sheet!$L:$L=Sheet1!$B$1)*(Score_Sheet!$A:$A=Sheet1!$A198),"NA"))</f>
        <v/>
      </c>
      <c r="F198" s="11"/>
      <c r="G198" s="11"/>
      <c r="H198" s="11"/>
      <c r="I198" s="11"/>
      <c r="J198" s="10"/>
      <c r="K198" s="9" t="str" cm="1">
        <f t="array" ref="K198">IF(ISBLANK($A198),"",_xlfn._xlws.FILTER(Score_Sheet!$AA:$AI,(Score_Sheet!$L:$L=Sheet1!$B$1)*(Score_Sheet!$A:$A=Sheet1!$A198),"NA"))</f>
        <v/>
      </c>
    </row>
    <row r="199" spans="5:11" ht="18">
      <c r="E199" s="11" t="str" cm="1">
        <f t="array" ref="E199">IF(ISBLANK($A199),"",_xlfn._xlws.FILTER(Score_Sheet!$F:$K,(Score_Sheet!$L:$L=Sheet1!$B$1)*(Score_Sheet!$A:$A=Sheet1!$A199),"NA"))</f>
        <v/>
      </c>
      <c r="F199" s="11"/>
      <c r="G199" s="11"/>
      <c r="H199" s="11"/>
      <c r="I199" s="11"/>
      <c r="J199" s="10"/>
      <c r="K199" s="9" t="str" cm="1">
        <f t="array" ref="K199">IF(ISBLANK($A199),"",_xlfn._xlws.FILTER(Score_Sheet!$AA:$AI,(Score_Sheet!$L:$L=Sheet1!$B$1)*(Score_Sheet!$A:$A=Sheet1!$A199),"NA"))</f>
        <v/>
      </c>
    </row>
    <row r="200" spans="5:11" ht="18">
      <c r="E200" s="11" t="str" cm="1">
        <f t="array" ref="E200">IF(ISBLANK($A200),"",_xlfn._xlws.FILTER(Score_Sheet!$F:$K,(Score_Sheet!$L:$L=Sheet1!$B$1)*(Score_Sheet!$A:$A=Sheet1!$A200),"NA"))</f>
        <v/>
      </c>
      <c r="F200" s="11"/>
      <c r="G200" s="11"/>
      <c r="H200" s="11"/>
      <c r="I200" s="11"/>
      <c r="J200" s="10"/>
      <c r="K200" s="9" t="str" cm="1">
        <f t="array" ref="K200">IF(ISBLANK($A200),"",_xlfn._xlws.FILTER(Score_Sheet!$AA:$AI,(Score_Sheet!$L:$L=Sheet1!$B$1)*(Score_Sheet!$A:$A=Sheet1!$A200),"NA"))</f>
        <v/>
      </c>
    </row>
    <row r="201" spans="5:11" ht="18">
      <c r="E201" s="11" t="str" cm="1">
        <f t="array" ref="E201">IF(ISBLANK($A201),"",_xlfn._xlws.FILTER(Score_Sheet!$F:$K,(Score_Sheet!$L:$L=Sheet1!$B$1)*(Score_Sheet!$A:$A=Sheet1!$A201),"NA"))</f>
        <v/>
      </c>
      <c r="F201" s="11"/>
      <c r="G201" s="11"/>
      <c r="H201" s="11"/>
      <c r="I201" s="11"/>
      <c r="J201" s="10"/>
      <c r="K201" s="9" t="str" cm="1">
        <f t="array" ref="K201">IF(ISBLANK($A201),"",_xlfn._xlws.FILTER(Score_Sheet!$AA:$AI,(Score_Sheet!$L:$L=Sheet1!$B$1)*(Score_Sheet!$A:$A=Sheet1!$A201),"NA"))</f>
        <v/>
      </c>
    </row>
    <row r="202" spans="5:11" ht="18">
      <c r="E202" s="11" t="str" cm="1">
        <f t="array" ref="E202">IF(ISBLANK($A202),"",_xlfn._xlws.FILTER(Score_Sheet!$F:$K,(Score_Sheet!$L:$L=Sheet1!$B$1)*(Score_Sheet!$A:$A=Sheet1!$A202),"NA"))</f>
        <v/>
      </c>
      <c r="F202" s="11"/>
      <c r="G202" s="11"/>
      <c r="H202" s="11"/>
      <c r="I202" s="11"/>
      <c r="J202" s="10"/>
      <c r="K202" s="9" t="str" cm="1">
        <f t="array" ref="K202">IF(ISBLANK($A202),"",_xlfn._xlws.FILTER(Score_Sheet!$AA:$AI,(Score_Sheet!$L:$L=Sheet1!$B$1)*(Score_Sheet!$A:$A=Sheet1!$A202),"NA"))</f>
        <v/>
      </c>
    </row>
    <row r="203" spans="5:11" ht="18">
      <c r="E203" s="11" t="str" cm="1">
        <f t="array" ref="E203">IF(ISBLANK($A203),"",_xlfn._xlws.FILTER(Score_Sheet!$F:$K,(Score_Sheet!$L:$L=Sheet1!$B$1)*(Score_Sheet!$A:$A=Sheet1!$A203),"NA"))</f>
        <v/>
      </c>
      <c r="F203" s="11"/>
      <c r="G203" s="11"/>
      <c r="H203" s="11"/>
      <c r="I203" s="11"/>
      <c r="J203" s="10"/>
      <c r="K203" s="9" t="str" cm="1">
        <f t="array" ref="K203">IF(ISBLANK($A203),"",_xlfn._xlws.FILTER(Score_Sheet!$AA:$AI,(Score_Sheet!$L:$L=Sheet1!$B$1)*(Score_Sheet!$A:$A=Sheet1!$A203),"NA"))</f>
        <v/>
      </c>
    </row>
    <row r="204" spans="5:11" ht="18">
      <c r="E204" s="11" t="str" cm="1">
        <f t="array" ref="E204">IF(ISBLANK($A204),"",_xlfn._xlws.FILTER(Score_Sheet!$F:$K,(Score_Sheet!$L:$L=Sheet1!$B$1)*(Score_Sheet!$A:$A=Sheet1!$A204),"NA"))</f>
        <v/>
      </c>
      <c r="F204" s="11"/>
      <c r="G204" s="11"/>
      <c r="H204" s="11"/>
      <c r="I204" s="11"/>
      <c r="J204" s="10"/>
      <c r="K204" s="9" t="str" cm="1">
        <f t="array" ref="K204">IF(ISBLANK($A204),"",_xlfn._xlws.FILTER(Score_Sheet!$AA:$AI,(Score_Sheet!$L:$L=Sheet1!$B$1)*(Score_Sheet!$A:$A=Sheet1!$A204),"NA"))</f>
        <v/>
      </c>
    </row>
    <row r="205" spans="5:11" ht="18">
      <c r="E205" s="11" t="str" cm="1">
        <f t="array" ref="E205">IF(ISBLANK($A205),"",_xlfn._xlws.FILTER(Score_Sheet!$F:$K,(Score_Sheet!$L:$L=Sheet1!$B$1)*(Score_Sheet!$A:$A=Sheet1!$A205),"NA"))</f>
        <v/>
      </c>
      <c r="F205" s="11"/>
      <c r="G205" s="11"/>
      <c r="H205" s="11"/>
      <c r="I205" s="11"/>
      <c r="J205" s="10"/>
      <c r="K205" s="9" t="str" cm="1">
        <f t="array" ref="K205">IF(ISBLANK($A205),"",_xlfn._xlws.FILTER(Score_Sheet!$AA:$AI,(Score_Sheet!$L:$L=Sheet1!$B$1)*(Score_Sheet!$A:$A=Sheet1!$A205),"NA"))</f>
        <v/>
      </c>
    </row>
    <row r="206" spans="5:11" ht="18">
      <c r="E206" s="11" t="str" cm="1">
        <f t="array" ref="E206">IF(ISBLANK($A206),"",_xlfn._xlws.FILTER(Score_Sheet!$F:$K,(Score_Sheet!$L:$L=Sheet1!$B$1)*(Score_Sheet!$A:$A=Sheet1!$A206),"NA"))</f>
        <v/>
      </c>
      <c r="F206" s="11"/>
      <c r="G206" s="11"/>
      <c r="H206" s="11"/>
      <c r="I206" s="11"/>
      <c r="J206" s="10"/>
      <c r="K206" s="9" t="str" cm="1">
        <f t="array" ref="K206">IF(ISBLANK($A206),"",_xlfn._xlws.FILTER(Score_Sheet!$AA:$AI,(Score_Sheet!$L:$L=Sheet1!$B$1)*(Score_Sheet!$A:$A=Sheet1!$A206),"NA"))</f>
        <v/>
      </c>
    </row>
    <row r="207" spans="5:11" ht="18">
      <c r="E207" s="11" t="str" cm="1">
        <f t="array" ref="E207">IF(ISBLANK($A207),"",_xlfn._xlws.FILTER(Score_Sheet!$F:$K,(Score_Sheet!$L:$L=Sheet1!$B$1)*(Score_Sheet!$A:$A=Sheet1!$A207),"NA"))</f>
        <v/>
      </c>
      <c r="F207" s="11"/>
      <c r="G207" s="11"/>
      <c r="H207" s="11"/>
      <c r="I207" s="11"/>
      <c r="J207" s="10"/>
      <c r="K207" s="9" t="str" cm="1">
        <f t="array" ref="K207">IF(ISBLANK($A207),"",_xlfn._xlws.FILTER(Score_Sheet!$AA:$AI,(Score_Sheet!$L:$L=Sheet1!$B$1)*(Score_Sheet!$A:$A=Sheet1!$A207),"NA"))</f>
        <v/>
      </c>
    </row>
    <row r="208" spans="5:11" ht="18">
      <c r="E208" s="11" t="str" cm="1">
        <f t="array" ref="E208">IF(ISBLANK($A208),"",_xlfn._xlws.FILTER(Score_Sheet!$F:$K,(Score_Sheet!$L:$L=Sheet1!$B$1)*(Score_Sheet!$A:$A=Sheet1!$A208),"NA"))</f>
        <v/>
      </c>
      <c r="F208" s="11"/>
      <c r="G208" s="11"/>
      <c r="H208" s="11"/>
      <c r="I208" s="11"/>
      <c r="J208" s="10"/>
      <c r="K208" s="9" t="str" cm="1">
        <f t="array" ref="K208">IF(ISBLANK($A208),"",_xlfn._xlws.FILTER(Score_Sheet!$AA:$AI,(Score_Sheet!$L:$L=Sheet1!$B$1)*(Score_Sheet!$A:$A=Sheet1!$A208),"NA"))</f>
        <v/>
      </c>
    </row>
    <row r="209" spans="5:11" ht="18">
      <c r="E209" s="11" t="str" cm="1">
        <f t="array" ref="E209">IF(ISBLANK($A209),"",_xlfn._xlws.FILTER(Score_Sheet!$F:$K,(Score_Sheet!$L:$L=Sheet1!$B$1)*(Score_Sheet!$A:$A=Sheet1!$A209),"NA"))</f>
        <v/>
      </c>
      <c r="F209" s="11"/>
      <c r="G209" s="11"/>
      <c r="H209" s="11"/>
      <c r="I209" s="11"/>
      <c r="J209" s="10"/>
      <c r="K209" s="9" t="str" cm="1">
        <f t="array" ref="K209">IF(ISBLANK($A209),"",_xlfn._xlws.FILTER(Score_Sheet!$AA:$AI,(Score_Sheet!$L:$L=Sheet1!$B$1)*(Score_Sheet!$A:$A=Sheet1!$A209),"NA"))</f>
        <v/>
      </c>
    </row>
    <row r="210" spans="5:11" ht="18">
      <c r="E210" s="11" t="str" cm="1">
        <f t="array" ref="E210">IF(ISBLANK($A210),"",_xlfn._xlws.FILTER(Score_Sheet!$F:$K,(Score_Sheet!$L:$L=Sheet1!$B$1)*(Score_Sheet!$A:$A=Sheet1!$A210),"NA"))</f>
        <v/>
      </c>
      <c r="F210" s="11"/>
      <c r="G210" s="11"/>
      <c r="H210" s="11"/>
      <c r="I210" s="11"/>
      <c r="J210" s="10"/>
      <c r="K210" s="9" t="str" cm="1">
        <f t="array" ref="K210">IF(ISBLANK($A210),"",_xlfn._xlws.FILTER(Score_Sheet!$AA:$AI,(Score_Sheet!$L:$L=Sheet1!$B$1)*(Score_Sheet!$A:$A=Sheet1!$A210),"NA"))</f>
        <v/>
      </c>
    </row>
    <row r="211" spans="5:11" ht="18">
      <c r="E211" s="11" t="str" cm="1">
        <f t="array" ref="E211">IF(ISBLANK($A211),"",_xlfn._xlws.FILTER(Score_Sheet!$F:$K,(Score_Sheet!$L:$L=Sheet1!$B$1)*(Score_Sheet!$A:$A=Sheet1!$A211),"NA"))</f>
        <v/>
      </c>
      <c r="F211" s="11"/>
      <c r="G211" s="11"/>
      <c r="H211" s="11"/>
      <c r="I211" s="11"/>
      <c r="J211" s="10"/>
      <c r="K211" s="9" t="str" cm="1">
        <f t="array" ref="K211">IF(ISBLANK($A211),"",_xlfn._xlws.FILTER(Score_Sheet!$AA:$AI,(Score_Sheet!$L:$L=Sheet1!$B$1)*(Score_Sheet!$A:$A=Sheet1!$A211),"NA"))</f>
        <v/>
      </c>
    </row>
    <row r="212" spans="5:11" ht="18">
      <c r="E212" s="11" t="str" cm="1">
        <f t="array" ref="E212">IF(ISBLANK($A212),"",_xlfn._xlws.FILTER(Score_Sheet!$F:$K,(Score_Sheet!$L:$L=Sheet1!$B$1)*(Score_Sheet!$A:$A=Sheet1!$A212),"NA"))</f>
        <v/>
      </c>
      <c r="F212" s="11"/>
      <c r="G212" s="11"/>
      <c r="H212" s="11"/>
      <c r="I212" s="11"/>
      <c r="J212" s="10"/>
      <c r="K212" s="9" t="str" cm="1">
        <f t="array" ref="K212">IF(ISBLANK($A212),"",_xlfn._xlws.FILTER(Score_Sheet!$AA:$AI,(Score_Sheet!$L:$L=Sheet1!$B$1)*(Score_Sheet!$A:$A=Sheet1!$A212),"NA"))</f>
        <v/>
      </c>
    </row>
    <row r="213" spans="5:11" ht="18">
      <c r="E213" s="11" t="str" cm="1">
        <f t="array" ref="E213">IF(ISBLANK($A213),"",_xlfn._xlws.FILTER(Score_Sheet!$F:$K,(Score_Sheet!$L:$L=Sheet1!$B$1)*(Score_Sheet!$A:$A=Sheet1!$A213),"NA"))</f>
        <v/>
      </c>
      <c r="F213" s="11"/>
      <c r="G213" s="11"/>
      <c r="H213" s="11"/>
      <c r="I213" s="11"/>
      <c r="J213" s="10"/>
      <c r="K213" s="9" t="str" cm="1">
        <f t="array" ref="K213">IF(ISBLANK($A213),"",_xlfn._xlws.FILTER(Score_Sheet!$AA:$AI,(Score_Sheet!$L:$L=Sheet1!$B$1)*(Score_Sheet!$A:$A=Sheet1!$A213),"NA"))</f>
        <v/>
      </c>
    </row>
    <row r="214" spans="5:11" ht="18">
      <c r="E214" s="11" t="str" cm="1">
        <f t="array" ref="E214">IF(ISBLANK($A214),"",_xlfn._xlws.FILTER(Score_Sheet!$F:$K,(Score_Sheet!$L:$L=Sheet1!$B$1)*(Score_Sheet!$A:$A=Sheet1!$A214),"NA"))</f>
        <v/>
      </c>
      <c r="F214" s="11"/>
      <c r="G214" s="11"/>
      <c r="H214" s="11"/>
      <c r="I214" s="11"/>
      <c r="J214" s="10"/>
      <c r="K214" s="9" t="str" cm="1">
        <f t="array" ref="K214">IF(ISBLANK($A214),"",_xlfn._xlws.FILTER(Score_Sheet!$AA:$AI,(Score_Sheet!$L:$L=Sheet1!$B$1)*(Score_Sheet!$A:$A=Sheet1!$A214),"NA"))</f>
        <v/>
      </c>
    </row>
    <row r="215" spans="5:11" ht="18">
      <c r="E215" s="11" t="str" cm="1">
        <f t="array" ref="E215">IF(ISBLANK($A215),"",_xlfn._xlws.FILTER(Score_Sheet!$F:$K,(Score_Sheet!$L:$L=Sheet1!$B$1)*(Score_Sheet!$A:$A=Sheet1!$A215),"NA"))</f>
        <v/>
      </c>
      <c r="F215" s="11"/>
      <c r="G215" s="11"/>
      <c r="H215" s="11"/>
      <c r="I215" s="11"/>
      <c r="J215" s="10"/>
      <c r="K215" s="9" t="str" cm="1">
        <f t="array" ref="K215">IF(ISBLANK($A215),"",_xlfn._xlws.FILTER(Score_Sheet!$AA:$AI,(Score_Sheet!$L:$L=Sheet1!$B$1)*(Score_Sheet!$A:$A=Sheet1!$A215),"NA"))</f>
        <v/>
      </c>
    </row>
    <row r="216" spans="5:11" ht="18">
      <c r="E216" s="11" t="str" cm="1">
        <f t="array" ref="E216">IF(ISBLANK($A216),"",_xlfn._xlws.FILTER(Score_Sheet!$F:$K,(Score_Sheet!$L:$L=Sheet1!$B$1)*(Score_Sheet!$A:$A=Sheet1!$A216),"NA"))</f>
        <v/>
      </c>
      <c r="F216" s="11"/>
      <c r="G216" s="11"/>
      <c r="H216" s="11"/>
      <c r="I216" s="11"/>
      <c r="J216" s="10"/>
      <c r="K216" s="9" t="str" cm="1">
        <f t="array" ref="K216">IF(ISBLANK($A216),"",_xlfn._xlws.FILTER(Score_Sheet!$AA:$AI,(Score_Sheet!$L:$L=Sheet1!$B$1)*(Score_Sheet!$A:$A=Sheet1!$A216),"NA"))</f>
        <v/>
      </c>
    </row>
    <row r="217" spans="5:11" ht="18">
      <c r="E217" s="11" t="str" cm="1">
        <f t="array" ref="E217">IF(ISBLANK($A217),"",_xlfn._xlws.FILTER(Score_Sheet!$F:$K,(Score_Sheet!$L:$L=Sheet1!$B$1)*(Score_Sheet!$A:$A=Sheet1!$A217),"NA"))</f>
        <v/>
      </c>
      <c r="F217" s="11"/>
      <c r="G217" s="11"/>
      <c r="H217" s="11"/>
      <c r="I217" s="11"/>
      <c r="J217" s="10"/>
      <c r="K217" s="9" t="str" cm="1">
        <f t="array" ref="K217">IF(ISBLANK($A217),"",_xlfn._xlws.FILTER(Score_Sheet!$AA:$AI,(Score_Sheet!$L:$L=Sheet1!$B$1)*(Score_Sheet!$A:$A=Sheet1!$A217),"NA"))</f>
        <v/>
      </c>
    </row>
    <row r="218" spans="5:11" ht="18">
      <c r="E218" s="11" t="str" cm="1">
        <f t="array" ref="E218">IF(ISBLANK($A218),"",_xlfn._xlws.FILTER(Score_Sheet!$F:$K,(Score_Sheet!$L:$L=Sheet1!$B$1)*(Score_Sheet!$A:$A=Sheet1!$A218),"NA"))</f>
        <v/>
      </c>
      <c r="F218" s="11"/>
      <c r="G218" s="11"/>
      <c r="H218" s="11"/>
      <c r="I218" s="11"/>
      <c r="J218" s="10"/>
      <c r="K218" s="9" t="str" cm="1">
        <f t="array" ref="K218">IF(ISBLANK($A218),"",_xlfn._xlws.FILTER(Score_Sheet!$AA:$AI,(Score_Sheet!$L:$L=Sheet1!$B$1)*(Score_Sheet!$A:$A=Sheet1!$A218),"NA"))</f>
        <v/>
      </c>
    </row>
    <row r="219" spans="5:11" ht="18">
      <c r="E219" s="11" t="str" cm="1">
        <f t="array" ref="E219">IF(ISBLANK($A219),"",_xlfn._xlws.FILTER(Score_Sheet!$F:$K,(Score_Sheet!$L:$L=Sheet1!$B$1)*(Score_Sheet!$A:$A=Sheet1!$A219),"NA"))</f>
        <v/>
      </c>
      <c r="F219" s="11"/>
      <c r="G219" s="11"/>
      <c r="H219" s="11"/>
      <c r="I219" s="11"/>
      <c r="J219" s="10"/>
      <c r="K219" s="9" t="str" cm="1">
        <f t="array" ref="K219">IF(ISBLANK($A219),"",_xlfn._xlws.FILTER(Score_Sheet!$AA:$AI,(Score_Sheet!$L:$L=Sheet1!$B$1)*(Score_Sheet!$A:$A=Sheet1!$A219),"NA"))</f>
        <v/>
      </c>
    </row>
    <row r="220" spans="5:11" ht="18">
      <c r="E220" s="11" t="str" cm="1">
        <f t="array" ref="E220">IF(ISBLANK($A220),"",_xlfn._xlws.FILTER(Score_Sheet!$F:$K,(Score_Sheet!$L:$L=Sheet1!$B$1)*(Score_Sheet!$A:$A=Sheet1!$A220),"NA"))</f>
        <v/>
      </c>
      <c r="F220" s="11"/>
      <c r="G220" s="11"/>
      <c r="H220" s="11"/>
      <c r="I220" s="11"/>
      <c r="J220" s="10"/>
      <c r="K220" s="9" t="str" cm="1">
        <f t="array" ref="K220">IF(ISBLANK($A220),"",_xlfn._xlws.FILTER(Score_Sheet!$AA:$AI,(Score_Sheet!$L:$L=Sheet1!$B$1)*(Score_Sheet!$A:$A=Sheet1!$A220),"NA"))</f>
        <v/>
      </c>
    </row>
    <row r="221" spans="5:11" ht="18">
      <c r="E221" s="11" t="str" cm="1">
        <f t="array" ref="E221">IF(ISBLANK($A221),"",_xlfn._xlws.FILTER(Score_Sheet!$F:$K,(Score_Sheet!$L:$L=Sheet1!$B$1)*(Score_Sheet!$A:$A=Sheet1!$A221),"NA"))</f>
        <v/>
      </c>
      <c r="F221" s="11"/>
      <c r="G221" s="11"/>
      <c r="H221" s="11"/>
      <c r="I221" s="11"/>
      <c r="J221" s="10"/>
      <c r="K221" s="9" t="str" cm="1">
        <f t="array" ref="K221">IF(ISBLANK($A221),"",_xlfn._xlws.FILTER(Score_Sheet!$AA:$AI,(Score_Sheet!$L:$L=Sheet1!$B$1)*(Score_Sheet!$A:$A=Sheet1!$A221),"NA"))</f>
        <v/>
      </c>
    </row>
    <row r="222" spans="5:11" ht="18">
      <c r="E222" s="11" t="str" cm="1">
        <f t="array" ref="E222">IF(ISBLANK($A222),"",_xlfn._xlws.FILTER(Score_Sheet!$F:$K,(Score_Sheet!$L:$L=Sheet1!$B$1)*(Score_Sheet!$A:$A=Sheet1!$A222),"NA"))</f>
        <v/>
      </c>
      <c r="F222" s="11"/>
      <c r="G222" s="11"/>
      <c r="H222" s="11"/>
      <c r="I222" s="11"/>
      <c r="J222" s="10"/>
      <c r="K222" s="9" t="str" cm="1">
        <f t="array" ref="K222">IF(ISBLANK($A222),"",_xlfn._xlws.FILTER(Score_Sheet!$AA:$AI,(Score_Sheet!$L:$L=Sheet1!$B$1)*(Score_Sheet!$A:$A=Sheet1!$A222),"NA"))</f>
        <v/>
      </c>
    </row>
    <row r="223" spans="5:11" ht="18">
      <c r="E223" s="11" t="str" cm="1">
        <f t="array" ref="E223">IF(ISBLANK($A223),"",_xlfn._xlws.FILTER(Score_Sheet!$F:$K,(Score_Sheet!$L:$L=Sheet1!$B$1)*(Score_Sheet!$A:$A=Sheet1!$A223),"NA"))</f>
        <v/>
      </c>
      <c r="F223" s="11"/>
      <c r="G223" s="11"/>
      <c r="H223" s="11"/>
      <c r="I223" s="11"/>
      <c r="J223" s="10"/>
      <c r="K223" s="9" t="str" cm="1">
        <f t="array" ref="K223">IF(ISBLANK($A223),"",_xlfn._xlws.FILTER(Score_Sheet!$AA:$AI,(Score_Sheet!$L:$L=Sheet1!$B$1)*(Score_Sheet!$A:$A=Sheet1!$A223),"NA"))</f>
        <v/>
      </c>
    </row>
    <row r="224" spans="5:11" ht="18">
      <c r="E224" s="11" t="str" cm="1">
        <f t="array" ref="E224">IF(ISBLANK($A224),"",_xlfn._xlws.FILTER(Score_Sheet!$F:$K,(Score_Sheet!$L:$L=Sheet1!$B$1)*(Score_Sheet!$A:$A=Sheet1!$A224),"NA"))</f>
        <v/>
      </c>
      <c r="F224" s="11"/>
      <c r="G224" s="11"/>
      <c r="H224" s="11"/>
      <c r="I224" s="11"/>
      <c r="J224" s="10"/>
      <c r="K224" s="9" t="str" cm="1">
        <f t="array" ref="K224">IF(ISBLANK($A224),"",_xlfn._xlws.FILTER(Score_Sheet!$AA:$AI,(Score_Sheet!$L:$L=Sheet1!$B$1)*(Score_Sheet!$A:$A=Sheet1!$A224),"NA"))</f>
        <v/>
      </c>
    </row>
    <row r="225" spans="5:11" ht="18">
      <c r="E225" s="11" t="str" cm="1">
        <f t="array" ref="E225">IF(ISBLANK($A225),"",_xlfn._xlws.FILTER(Score_Sheet!$F:$K,(Score_Sheet!$L:$L=Sheet1!$B$1)*(Score_Sheet!$A:$A=Sheet1!$A225),"NA"))</f>
        <v/>
      </c>
      <c r="F225" s="11"/>
      <c r="G225" s="11"/>
      <c r="H225" s="11"/>
      <c r="I225" s="11"/>
      <c r="J225" s="10"/>
      <c r="K225" s="9" t="str" cm="1">
        <f t="array" ref="K225">IF(ISBLANK($A225),"",_xlfn._xlws.FILTER(Score_Sheet!$AA:$AI,(Score_Sheet!$L:$L=Sheet1!$B$1)*(Score_Sheet!$A:$A=Sheet1!$A225),"NA"))</f>
        <v/>
      </c>
    </row>
    <row r="226" spans="5:11" ht="18">
      <c r="E226" s="11" t="str" cm="1">
        <f t="array" ref="E226">IF(ISBLANK($A226),"",_xlfn._xlws.FILTER(Score_Sheet!$F:$K,(Score_Sheet!$L:$L=Sheet1!$B$1)*(Score_Sheet!$A:$A=Sheet1!$A226),"NA"))</f>
        <v/>
      </c>
      <c r="F226" s="11"/>
      <c r="G226" s="11"/>
      <c r="H226" s="11"/>
      <c r="I226" s="11"/>
      <c r="J226" s="10"/>
      <c r="K226" s="9" t="str" cm="1">
        <f t="array" ref="K226">IF(ISBLANK($A226),"",_xlfn._xlws.FILTER(Score_Sheet!$AA:$AI,(Score_Sheet!$L:$L=Sheet1!$B$1)*(Score_Sheet!$A:$A=Sheet1!$A226),"NA"))</f>
        <v/>
      </c>
    </row>
    <row r="227" spans="5:11" ht="18">
      <c r="E227" s="11" t="str" cm="1">
        <f t="array" ref="E227">IF(ISBLANK($A227),"",_xlfn._xlws.FILTER(Score_Sheet!$F:$K,(Score_Sheet!$L:$L=Sheet1!$B$1)*(Score_Sheet!$A:$A=Sheet1!$A227),"NA"))</f>
        <v/>
      </c>
      <c r="F227" s="11"/>
      <c r="G227" s="11"/>
      <c r="H227" s="11"/>
      <c r="I227" s="11"/>
      <c r="J227" s="10"/>
      <c r="K227" s="9" t="str" cm="1">
        <f t="array" ref="K227">IF(ISBLANK($A227),"",_xlfn._xlws.FILTER(Score_Sheet!$AA:$AI,(Score_Sheet!$L:$L=Sheet1!$B$1)*(Score_Sheet!$A:$A=Sheet1!$A227),"NA"))</f>
        <v/>
      </c>
    </row>
    <row r="228" spans="5:11" ht="18">
      <c r="E228" s="11" t="str" cm="1">
        <f t="array" ref="E228">IF(ISBLANK($A228),"",_xlfn._xlws.FILTER(Score_Sheet!$F:$K,(Score_Sheet!$L:$L=Sheet1!$B$1)*(Score_Sheet!$A:$A=Sheet1!$A228),"NA"))</f>
        <v/>
      </c>
      <c r="F228" s="11"/>
      <c r="G228" s="11"/>
      <c r="H228" s="11"/>
      <c r="I228" s="11"/>
      <c r="J228" s="10"/>
      <c r="K228" s="9" t="str" cm="1">
        <f t="array" ref="K228">IF(ISBLANK($A228),"",_xlfn._xlws.FILTER(Score_Sheet!$AA:$AI,(Score_Sheet!$L:$L=Sheet1!$B$1)*(Score_Sheet!$A:$A=Sheet1!$A228),"NA"))</f>
        <v/>
      </c>
    </row>
    <row r="229" spans="5:11" ht="18">
      <c r="E229" s="11" t="str" cm="1">
        <f t="array" ref="E229">IF(ISBLANK($A229),"",_xlfn._xlws.FILTER(Score_Sheet!$F:$K,(Score_Sheet!$L:$L=Sheet1!$B$1)*(Score_Sheet!$A:$A=Sheet1!$A229),"NA"))</f>
        <v/>
      </c>
      <c r="F229" s="11"/>
      <c r="G229" s="11"/>
      <c r="H229" s="11"/>
      <c r="I229" s="11"/>
      <c r="J229" s="10"/>
      <c r="K229" s="9" t="str" cm="1">
        <f t="array" ref="K229">IF(ISBLANK($A229),"",_xlfn._xlws.FILTER(Score_Sheet!$AA:$AI,(Score_Sheet!$L:$L=Sheet1!$B$1)*(Score_Sheet!$A:$A=Sheet1!$A229),"NA"))</f>
        <v/>
      </c>
    </row>
    <row r="230" spans="5:11" ht="18">
      <c r="E230" s="11" t="str" cm="1">
        <f t="array" ref="E230">IF(ISBLANK($A230),"",_xlfn._xlws.FILTER(Score_Sheet!$F:$K,(Score_Sheet!$L:$L=Sheet1!$B$1)*(Score_Sheet!$A:$A=Sheet1!$A230),"NA"))</f>
        <v/>
      </c>
      <c r="F230" s="11"/>
      <c r="G230" s="11"/>
      <c r="H230" s="11"/>
      <c r="I230" s="11"/>
      <c r="J230" s="10"/>
      <c r="K230" s="9" t="str" cm="1">
        <f t="array" ref="K230">IF(ISBLANK($A230),"",_xlfn._xlws.FILTER(Score_Sheet!$AA:$AI,(Score_Sheet!$L:$L=Sheet1!$B$1)*(Score_Sheet!$A:$A=Sheet1!$A230),"NA"))</f>
        <v/>
      </c>
    </row>
    <row r="231" spans="5:11" ht="18">
      <c r="E231" s="11" t="str" cm="1">
        <f t="array" ref="E231">IF(ISBLANK($A231),"",_xlfn._xlws.FILTER(Score_Sheet!$F:$K,(Score_Sheet!$L:$L=Sheet1!$B$1)*(Score_Sheet!$A:$A=Sheet1!$A231),"NA"))</f>
        <v/>
      </c>
      <c r="F231" s="11"/>
      <c r="G231" s="11"/>
      <c r="H231" s="11"/>
      <c r="I231" s="11"/>
      <c r="J231" s="10"/>
      <c r="K231" s="9" t="str" cm="1">
        <f t="array" ref="K231">IF(ISBLANK($A231),"",_xlfn._xlws.FILTER(Score_Sheet!$AA:$AI,(Score_Sheet!$L:$L=Sheet1!$B$1)*(Score_Sheet!$A:$A=Sheet1!$A231),"NA"))</f>
        <v/>
      </c>
    </row>
    <row r="232" spans="5:11" ht="18">
      <c r="E232" s="11" t="str" cm="1">
        <f t="array" ref="E232">IF(ISBLANK($A232),"",_xlfn._xlws.FILTER(Score_Sheet!$F:$K,(Score_Sheet!$L:$L=Sheet1!$B$1)*(Score_Sheet!$A:$A=Sheet1!$A232),"NA"))</f>
        <v/>
      </c>
      <c r="F232" s="11"/>
      <c r="G232" s="11"/>
      <c r="H232" s="11"/>
      <c r="I232" s="11"/>
      <c r="J232" s="10"/>
      <c r="K232" s="9" t="str" cm="1">
        <f t="array" ref="K232">IF(ISBLANK($A232),"",_xlfn._xlws.FILTER(Score_Sheet!$AA:$AI,(Score_Sheet!$L:$L=Sheet1!$B$1)*(Score_Sheet!$A:$A=Sheet1!$A232),"NA"))</f>
        <v/>
      </c>
    </row>
    <row r="233" spans="5:11" ht="18">
      <c r="E233" s="11" t="str" cm="1">
        <f t="array" ref="E233">IF(ISBLANK($A233),"",_xlfn._xlws.FILTER(Score_Sheet!$F:$K,(Score_Sheet!$L:$L=Sheet1!$B$1)*(Score_Sheet!$A:$A=Sheet1!$A233),"NA"))</f>
        <v/>
      </c>
      <c r="F233" s="11"/>
      <c r="G233" s="11"/>
      <c r="H233" s="11"/>
      <c r="I233" s="11"/>
      <c r="J233" s="10"/>
      <c r="K233" s="9" t="str" cm="1">
        <f t="array" ref="K233">IF(ISBLANK($A233),"",_xlfn._xlws.FILTER(Score_Sheet!$AA:$AI,(Score_Sheet!$L:$L=Sheet1!$B$1)*(Score_Sheet!$A:$A=Sheet1!$A233),"NA"))</f>
        <v/>
      </c>
    </row>
  </sheetData>
  <autoFilter ref="A9:S47" xr:uid="{4974621C-AA9C-4FC6-B3F0-C3FF3A75343E}">
    <filterColumn colId="4" showButton="0"/>
    <filterColumn colId="5" showButton="0"/>
    <filterColumn colId="6" showButton="0"/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</autoFilter>
  <mergeCells count="11">
    <mergeCell ref="A3:Q3"/>
    <mergeCell ref="A4:Q4"/>
    <mergeCell ref="K5:Q5"/>
    <mergeCell ref="E9:J9"/>
    <mergeCell ref="K9:M9"/>
    <mergeCell ref="N9:P9"/>
    <mergeCell ref="Q9:S9"/>
    <mergeCell ref="A9:A10"/>
    <mergeCell ref="B9:B10"/>
    <mergeCell ref="C9:C10"/>
    <mergeCell ref="C8:J8"/>
  </mergeCells>
  <conditionalFormatting sqref="I11:I4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:K3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:K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6:Q4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1:N3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1:N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1:Q3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1:Q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56" fitToHeight="0" orientation="landscape" errors="blank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BC7A94-3CAF-453F-B5CD-5CD6C6243FDF}">
          <x14:formula1>
            <xm:f>Score_Sheet!$L:$L</xm:f>
          </x14:formula1>
          <xm:sqref>B1:D1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87D8-F243-43FF-ACC8-9803D153DA99}">
  <sheetPr>
    <pageSetUpPr fitToPage="1"/>
  </sheetPr>
  <dimension ref="A1:AB233"/>
  <sheetViews>
    <sheetView tabSelected="1" zoomScale="55" zoomScaleNormal="55" workbookViewId="0">
      <selection activeCell="A3" sqref="A3:R18"/>
    </sheetView>
  </sheetViews>
  <sheetFormatPr defaultRowHeight="14"/>
  <cols>
    <col min="1" max="1" width="31.6640625" bestFit="1" customWidth="1"/>
    <col min="2" max="2" width="59.9140625" bestFit="1" customWidth="1"/>
    <col min="3" max="3" width="16.08203125" customWidth="1"/>
    <col min="4" max="4" width="10.9140625" bestFit="1" customWidth="1"/>
    <col min="5" max="6" width="16.08203125" hidden="1" customWidth="1"/>
    <col min="7" max="7" width="16.08203125" customWidth="1"/>
    <col min="8" max="9" width="16.08203125" hidden="1" customWidth="1"/>
    <col min="10" max="10" width="16.08203125" customWidth="1"/>
    <col min="11" max="12" width="16.08203125" hidden="1" customWidth="1"/>
    <col min="13" max="13" width="13.9140625" style="9" customWidth="1"/>
    <col min="14" max="14" width="16.4140625" style="9" customWidth="1"/>
    <col min="15" max="15" width="21.4140625" style="9" customWidth="1"/>
    <col min="16" max="16" width="17.08203125" style="9" hidden="1" customWidth="1"/>
    <col min="17" max="17" width="11.9140625" style="9" bestFit="1" customWidth="1"/>
    <col min="18" max="18" width="15.33203125" style="9" bestFit="1" customWidth="1"/>
  </cols>
  <sheetData>
    <row r="1" spans="1:18" s="69" customFormat="1" ht="64.25" customHeight="1">
      <c r="A1" s="65" t="s">
        <v>27</v>
      </c>
      <c r="B1" s="66" t="s">
        <v>150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67"/>
      <c r="O1" s="67"/>
      <c r="P1" s="68"/>
      <c r="Q1" s="68"/>
      <c r="R1" s="68"/>
    </row>
    <row r="2" spans="1:18" ht="32" customHeight="1"/>
    <row r="3" spans="1:18" ht="78" customHeight="1">
      <c r="A3" s="72" t="s">
        <v>29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</row>
    <row r="4" spans="1:18" ht="47.4" customHeight="1">
      <c r="A4" s="73" t="s">
        <v>236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</row>
    <row r="5" spans="1:18" s="3" customFormat="1" ht="41" customHeight="1">
      <c r="A5" s="43" t="s">
        <v>31</v>
      </c>
      <c r="B5" s="53" t="str">
        <f>B1</f>
        <v>N_G6_TULIPS</v>
      </c>
      <c r="M5" s="8"/>
      <c r="N5" s="8"/>
      <c r="O5" s="82">
        <v>46095</v>
      </c>
      <c r="P5" s="82"/>
      <c r="Q5" s="82"/>
      <c r="R5" s="82"/>
    </row>
    <row r="6" spans="1:18" s="3" customFormat="1" ht="41" customHeight="1">
      <c r="A6" s="43" t="s">
        <v>32</v>
      </c>
      <c r="B6" s="54" t="str">
        <f>IF(LEFT(B5,1)="P","PRAGATHINAGAR","NIZAMPET")</f>
        <v>NIZAMPET</v>
      </c>
      <c r="M6" s="8"/>
      <c r="N6" s="8"/>
      <c r="O6" s="8"/>
      <c r="P6" s="8"/>
      <c r="Q6" s="8"/>
      <c r="R6" s="8"/>
    </row>
    <row r="7" spans="1:18" s="3" customFormat="1" ht="41" customHeight="1">
      <c r="A7" s="43" t="s">
        <v>33</v>
      </c>
      <c r="B7" s="44" t="str">
        <f>CONCATENATE(LEFT(AVERAGE((R1:R102)),5),"%")</f>
        <v>70.00%</v>
      </c>
      <c r="M7" s="8"/>
      <c r="N7" s="8"/>
      <c r="O7" s="8"/>
      <c r="P7" s="8"/>
      <c r="Q7" s="8"/>
      <c r="R7" s="8"/>
    </row>
    <row r="8" spans="1:18" s="3" customFormat="1" ht="41" customHeight="1">
      <c r="A8" s="43" t="s">
        <v>34</v>
      </c>
      <c r="B8" s="44" t="str">
        <f>LEFT(AVERAGE((Q11:Q1000)),5)</f>
        <v>159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6"/>
    </row>
    <row r="9" spans="1:18" s="5" customFormat="1" ht="45" customHeight="1">
      <c r="A9" s="48" t="s">
        <v>0</v>
      </c>
      <c r="B9" s="49" t="s">
        <v>50</v>
      </c>
      <c r="C9" s="47" t="s">
        <v>51</v>
      </c>
      <c r="D9" s="26" t="s">
        <v>48</v>
      </c>
      <c r="E9" s="26" t="s">
        <v>18</v>
      </c>
      <c r="F9" s="26" t="s">
        <v>19</v>
      </c>
      <c r="G9" s="26" t="s">
        <v>49</v>
      </c>
      <c r="H9" s="26" t="s">
        <v>21</v>
      </c>
      <c r="I9" s="26" t="s">
        <v>22</v>
      </c>
      <c r="J9" s="26" t="s">
        <v>47</v>
      </c>
      <c r="K9" s="26" t="s">
        <v>24</v>
      </c>
      <c r="L9" s="26" t="s">
        <v>25</v>
      </c>
      <c r="M9" s="50" t="s">
        <v>42</v>
      </c>
      <c r="N9" s="51" t="s">
        <v>43</v>
      </c>
      <c r="O9" s="52" t="s">
        <v>44</v>
      </c>
      <c r="P9" s="12" t="s">
        <v>8</v>
      </c>
      <c r="Q9" s="55" t="s">
        <v>45</v>
      </c>
      <c r="R9" s="56" t="s">
        <v>46</v>
      </c>
    </row>
    <row r="10" spans="1:18" s="5" customFormat="1" ht="25">
      <c r="A10" s="83" t="s">
        <v>52</v>
      </c>
      <c r="B10" s="84"/>
      <c r="C10" s="85"/>
      <c r="D10" s="58">
        <v>80</v>
      </c>
      <c r="E10" s="58"/>
      <c r="F10" s="58"/>
      <c r="G10" s="58">
        <v>80</v>
      </c>
      <c r="H10" s="58"/>
      <c r="I10" s="58"/>
      <c r="J10" s="58">
        <v>80</v>
      </c>
      <c r="K10" s="58"/>
      <c r="L10" s="58"/>
      <c r="M10" s="86"/>
      <c r="N10" s="87"/>
      <c r="O10" s="88"/>
      <c r="P10" s="58"/>
      <c r="Q10" s="58">
        <v>240</v>
      </c>
      <c r="R10" s="58">
        <v>100</v>
      </c>
    </row>
    <row r="11" spans="1:18" s="3" customFormat="1" ht="40.25" customHeight="1">
      <c r="A11" s="25" t="str" cm="1">
        <f t="array" ref="A11:B22">_xlfn._xlws.FILTER(Score_Sheet!A:B,Score_Sheet!L:L=Class_Wise!B1,"NA")</f>
        <v>25NGSN6004</v>
      </c>
      <c r="B11" s="25" t="str">
        <v>CHETNA SOMBHOTLA</v>
      </c>
      <c r="C11" s="57">
        <f t="shared" ref="C11:C20" si="0">IF(Q11="AB","AB",IF(ISBLANK($A11),"",_xlfn.IFNA(_xlfn.RANK.EQ(R11,$R$11:$R$100,0),"")))</f>
        <v>1</v>
      </c>
      <c r="D11" s="21" cm="1">
        <f t="array" ref="D11:L11">IF(ISBLANK($A11),"",_xlfn._xlws.FILTER(Score_Sheet!$AA:$AI,(Score_Sheet!$L:$L=Class_Wise!$B$1)*(Score_Sheet!$A:$A=Class_Wise!$A11),"NA"))</f>
        <v>64</v>
      </c>
      <c r="E11" s="14">
        <v>4</v>
      </c>
      <c r="F11" s="14">
        <v>16</v>
      </c>
      <c r="G11" s="21">
        <v>60</v>
      </c>
      <c r="H11" s="21">
        <v>5</v>
      </c>
      <c r="I11" s="21">
        <v>15</v>
      </c>
      <c r="J11" s="21">
        <v>68</v>
      </c>
      <c r="K11" s="14">
        <v>3</v>
      </c>
      <c r="L11" s="14">
        <v>17</v>
      </c>
      <c r="M11" s="59" cm="1">
        <f t="array" ref="M11:R11">IF(ISBLANK($A11),"",_xlfn._xlws.FILTER(Score_Sheet!$F:$K,(Score_Sheet!$L:$L=Class_Wise!$B$1)*(Score_Sheet!$A:$A=Class_Wise!$A11),"NA"))</f>
        <v>48</v>
      </c>
      <c r="N11" s="60">
        <v>12</v>
      </c>
      <c r="O11" s="61">
        <v>0</v>
      </c>
      <c r="P11" s="17">
        <v>3.8587962962962963E-2</v>
      </c>
      <c r="Q11" s="22">
        <v>192</v>
      </c>
      <c r="R11" s="22">
        <v>80</v>
      </c>
    </row>
    <row r="12" spans="1:18" s="3" customFormat="1" ht="40.25" customHeight="1">
      <c r="A12" s="25" t="str">
        <v>25NGSN610</v>
      </c>
      <c r="B12" s="25" t="str">
        <v>REMALLI LAASYA SRI</v>
      </c>
      <c r="C12" s="57">
        <f t="shared" si="0"/>
        <v>2</v>
      </c>
      <c r="D12" s="21" cm="1">
        <f t="array" ref="D12:L12">IF(ISBLANK($A12),"",_xlfn._xlws.FILTER(Score_Sheet!$AA:$AI,(Score_Sheet!$L:$L=Class_Wise!$B$1)*(Score_Sheet!$A:$A=Class_Wise!$A12),"NA"))</f>
        <v>72</v>
      </c>
      <c r="E12" s="14">
        <v>2</v>
      </c>
      <c r="F12" s="14">
        <v>18</v>
      </c>
      <c r="G12" s="21">
        <v>56</v>
      </c>
      <c r="H12" s="21">
        <v>6</v>
      </c>
      <c r="I12" s="21">
        <v>14</v>
      </c>
      <c r="J12" s="21">
        <v>60</v>
      </c>
      <c r="K12" s="14">
        <v>5</v>
      </c>
      <c r="L12" s="14">
        <v>15</v>
      </c>
      <c r="M12" s="59" cm="1">
        <f t="array" ref="M12:R12">IF(ISBLANK($A12),"",_xlfn._xlws.FILTER(Score_Sheet!$F:$K,(Score_Sheet!$L:$L=Class_Wise!$B$1)*(Score_Sheet!$A:$A=Class_Wise!$A12),"NA"))</f>
        <v>47</v>
      </c>
      <c r="N12" s="60">
        <v>13</v>
      </c>
      <c r="O12" s="61">
        <v>0</v>
      </c>
      <c r="P12" s="17">
        <v>4.6724537037037037E-2</v>
      </c>
      <c r="Q12" s="22">
        <v>188</v>
      </c>
      <c r="R12" s="22">
        <v>78.33</v>
      </c>
    </row>
    <row r="13" spans="1:18" s="3" customFormat="1" ht="40.25" customHeight="1">
      <c r="A13" s="25" t="str">
        <v>25NGSN613</v>
      </c>
      <c r="B13" s="25" t="str">
        <v>Ch.V.S Hanvitha</v>
      </c>
      <c r="C13" s="57">
        <f t="shared" si="0"/>
        <v>3</v>
      </c>
      <c r="D13" s="21" cm="1">
        <f t="array" ref="D13:L13">IF(ISBLANK($A13),"",_xlfn._xlws.FILTER(Score_Sheet!$AA:$AI,(Score_Sheet!$L:$L=Class_Wise!$B$1)*(Score_Sheet!$A:$A=Class_Wise!$A13),"NA"))</f>
        <v>76</v>
      </c>
      <c r="E13" s="14">
        <v>1</v>
      </c>
      <c r="F13" s="14">
        <v>19</v>
      </c>
      <c r="G13" s="21">
        <v>56</v>
      </c>
      <c r="H13" s="21">
        <v>6</v>
      </c>
      <c r="I13" s="21">
        <v>14</v>
      </c>
      <c r="J13" s="21">
        <v>40</v>
      </c>
      <c r="K13" s="14">
        <v>10</v>
      </c>
      <c r="L13" s="14">
        <v>10</v>
      </c>
      <c r="M13" s="59" cm="1">
        <f t="array" ref="M13:R13">IF(ISBLANK($A13),"",_xlfn._xlws.FILTER(Score_Sheet!$F:$K,(Score_Sheet!$L:$L=Class_Wise!$B$1)*(Score_Sheet!$A:$A=Class_Wise!$A13),"NA"))</f>
        <v>43</v>
      </c>
      <c r="N13" s="60">
        <v>17</v>
      </c>
      <c r="O13" s="61">
        <v>0</v>
      </c>
      <c r="P13" s="17">
        <v>4.1863425925925929E-2</v>
      </c>
      <c r="Q13" s="22">
        <v>172</v>
      </c>
      <c r="R13" s="22">
        <v>71.67</v>
      </c>
    </row>
    <row r="14" spans="1:18" s="3" customFormat="1" ht="40.25" customHeight="1">
      <c r="A14" s="25" t="str">
        <v>25NGSN6013</v>
      </c>
      <c r="B14" s="25" t="str">
        <v>STEENA VANESSA PARISAPOGU</v>
      </c>
      <c r="C14" s="57">
        <f t="shared" si="0"/>
        <v>3</v>
      </c>
      <c r="D14" s="21" cm="1">
        <f t="array" ref="D14:L14">IF(ISBLANK($A14),"",_xlfn._xlws.FILTER(Score_Sheet!$AA:$AI,(Score_Sheet!$L:$L=Class_Wise!$B$1)*(Score_Sheet!$A:$A=Class_Wise!$A14),"NA"))</f>
        <v>64</v>
      </c>
      <c r="E14" s="14">
        <v>4</v>
      </c>
      <c r="F14" s="14">
        <v>16</v>
      </c>
      <c r="G14" s="21">
        <v>56</v>
      </c>
      <c r="H14" s="21">
        <v>6</v>
      </c>
      <c r="I14" s="21">
        <v>14</v>
      </c>
      <c r="J14" s="21">
        <v>52</v>
      </c>
      <c r="K14" s="14">
        <v>7</v>
      </c>
      <c r="L14" s="14">
        <v>13</v>
      </c>
      <c r="M14" s="59" cm="1">
        <f t="array" ref="M14:R14">IF(ISBLANK($A14),"",_xlfn._xlws.FILTER(Score_Sheet!$F:$K,(Score_Sheet!$L:$L=Class_Wise!$B$1)*(Score_Sheet!$A:$A=Class_Wise!$A14),"NA"))</f>
        <v>43</v>
      </c>
      <c r="N14" s="60">
        <v>17</v>
      </c>
      <c r="O14" s="61">
        <v>0</v>
      </c>
      <c r="P14" s="17">
        <v>5.3587962962962962E-2</v>
      </c>
      <c r="Q14" s="22">
        <v>172</v>
      </c>
      <c r="R14" s="22">
        <v>71.67</v>
      </c>
    </row>
    <row r="15" spans="1:18" s="3" customFormat="1" ht="40.25" customHeight="1">
      <c r="A15" s="25" t="str">
        <v>25NGSN618</v>
      </c>
      <c r="B15" s="25" t="str">
        <v>G. Sai Vineeth</v>
      </c>
      <c r="C15" s="57">
        <f t="shared" si="0"/>
        <v>5</v>
      </c>
      <c r="D15" s="21" cm="1">
        <f t="array" ref="D15:L15">IF(ISBLANK($A15),"",_xlfn._xlws.FILTER(Score_Sheet!$AA:$AI,(Score_Sheet!$L:$L=Class_Wise!$B$1)*(Score_Sheet!$A:$A=Class_Wise!$A15),"NA"))</f>
        <v>48</v>
      </c>
      <c r="E15" s="14">
        <v>8</v>
      </c>
      <c r="F15" s="14">
        <v>12</v>
      </c>
      <c r="G15" s="21">
        <v>60</v>
      </c>
      <c r="H15" s="21">
        <v>5</v>
      </c>
      <c r="I15" s="21">
        <v>15</v>
      </c>
      <c r="J15" s="21">
        <v>60</v>
      </c>
      <c r="K15" s="14">
        <v>5</v>
      </c>
      <c r="L15" s="14">
        <v>15</v>
      </c>
      <c r="M15" s="59" cm="1">
        <f t="array" ref="M15:R15">IF(ISBLANK($A15),"",_xlfn._xlws.FILTER(Score_Sheet!$F:$K,(Score_Sheet!$L:$L=Class_Wise!$B$1)*(Score_Sheet!$A:$A=Class_Wise!$A15),"NA"))</f>
        <v>42</v>
      </c>
      <c r="N15" s="60">
        <v>18</v>
      </c>
      <c r="O15" s="61">
        <v>0</v>
      </c>
      <c r="P15" s="17">
        <v>4.1736111111111113E-2</v>
      </c>
      <c r="Q15" s="22">
        <v>168</v>
      </c>
      <c r="R15" s="22">
        <v>70</v>
      </c>
    </row>
    <row r="16" spans="1:18" s="3" customFormat="1" ht="40.25" customHeight="1">
      <c r="A16" s="25" t="str">
        <v>25NGSN6009</v>
      </c>
      <c r="B16" s="25" t="str">
        <v>PRIYANKA SANI</v>
      </c>
      <c r="C16" s="57">
        <f t="shared" si="0"/>
        <v>6</v>
      </c>
      <c r="D16" s="21" cm="1">
        <f t="array" ref="D16:L16">IF(ISBLANK($A16),"",_xlfn._xlws.FILTER(Score_Sheet!$AA:$AI,(Score_Sheet!$L:$L=Class_Wise!$B$1)*(Score_Sheet!$A:$A=Class_Wise!$A16),"NA"))</f>
        <v>60</v>
      </c>
      <c r="E16" s="14">
        <v>5</v>
      </c>
      <c r="F16" s="14">
        <v>15</v>
      </c>
      <c r="G16" s="21">
        <v>64</v>
      </c>
      <c r="H16" s="21">
        <v>4</v>
      </c>
      <c r="I16" s="21">
        <v>16</v>
      </c>
      <c r="J16" s="21">
        <v>32</v>
      </c>
      <c r="K16" s="14">
        <v>12</v>
      </c>
      <c r="L16" s="14">
        <v>8</v>
      </c>
      <c r="M16" s="59" cm="1">
        <f t="array" ref="M16:R16">IF(ISBLANK($A16),"",_xlfn._xlws.FILTER(Score_Sheet!$F:$K,(Score_Sheet!$L:$L=Class_Wise!$B$1)*(Score_Sheet!$A:$A=Class_Wise!$A16),"NA"))</f>
        <v>39</v>
      </c>
      <c r="N16" s="60">
        <v>21</v>
      </c>
      <c r="O16" s="61">
        <v>0</v>
      </c>
      <c r="P16" s="17">
        <v>3.7881944444444447E-2</v>
      </c>
      <c r="Q16" s="22">
        <v>156</v>
      </c>
      <c r="R16" s="22">
        <v>65</v>
      </c>
    </row>
    <row r="17" spans="1:18" s="3" customFormat="1" ht="40.25" customHeight="1">
      <c r="A17" s="25" t="str">
        <v>25NGSN6005</v>
      </c>
      <c r="B17" s="25" t="str">
        <v>KARAPALA KARTHIKA</v>
      </c>
      <c r="C17" s="57">
        <f t="shared" si="0"/>
        <v>7</v>
      </c>
      <c r="D17" s="21" cm="1">
        <f t="array" ref="D17:L17">IF(ISBLANK($A17),"",_xlfn._xlws.FILTER(Score_Sheet!$AA:$AI,(Score_Sheet!$L:$L=Class_Wise!$B$1)*(Score_Sheet!$A:$A=Class_Wise!$A17),"NA"))</f>
        <v>52</v>
      </c>
      <c r="E17" s="14">
        <v>7</v>
      </c>
      <c r="F17" s="14">
        <v>13</v>
      </c>
      <c r="G17" s="21">
        <v>44</v>
      </c>
      <c r="H17" s="21">
        <v>9</v>
      </c>
      <c r="I17" s="21">
        <v>11</v>
      </c>
      <c r="J17" s="21">
        <v>40</v>
      </c>
      <c r="K17" s="14">
        <v>10</v>
      </c>
      <c r="L17" s="14">
        <v>10</v>
      </c>
      <c r="M17" s="59" cm="1">
        <f t="array" ref="M17:R17">IF(ISBLANK($A17),"",_xlfn._xlws.FILTER(Score_Sheet!$F:$K,(Score_Sheet!$L:$L=Class_Wise!$B$1)*(Score_Sheet!$A:$A=Class_Wise!$A17),"NA"))</f>
        <v>34</v>
      </c>
      <c r="N17" s="60">
        <v>26</v>
      </c>
      <c r="O17" s="61">
        <v>0</v>
      </c>
      <c r="P17" s="17">
        <v>5.5208333333333331E-2</v>
      </c>
      <c r="Q17" s="22">
        <v>136</v>
      </c>
      <c r="R17" s="22">
        <v>56.67</v>
      </c>
    </row>
    <row r="18" spans="1:18" s="3" customFormat="1" ht="40.25" customHeight="1">
      <c r="A18" s="25" t="str">
        <v>25NGSN607</v>
      </c>
      <c r="B18" s="25" t="str">
        <v>VENKATA KALYANI DUDDU</v>
      </c>
      <c r="C18" s="57">
        <f t="shared" si="0"/>
        <v>8</v>
      </c>
      <c r="D18" s="21" cm="1">
        <f t="array" ref="D18:L18">IF(ISBLANK($A18),"",_xlfn._xlws.FILTER(Score_Sheet!$AA:$AI,(Score_Sheet!$L:$L=Class_Wise!$B$1)*(Score_Sheet!$A:$A=Class_Wise!$A18),"NA"))</f>
        <v>48</v>
      </c>
      <c r="E18" s="14">
        <v>8</v>
      </c>
      <c r="F18" s="14">
        <v>12</v>
      </c>
      <c r="G18" s="21">
        <v>16</v>
      </c>
      <c r="H18" s="21">
        <v>16</v>
      </c>
      <c r="I18" s="21">
        <v>4</v>
      </c>
      <c r="J18" s="21">
        <v>24</v>
      </c>
      <c r="K18" s="14">
        <v>14</v>
      </c>
      <c r="L18" s="14">
        <v>6</v>
      </c>
      <c r="M18" s="59" cm="1">
        <f t="array" ref="M18:R18">IF(ISBLANK($A18),"",_xlfn._xlws.FILTER(Score_Sheet!$F:$K,(Score_Sheet!$L:$L=Class_Wise!$B$1)*(Score_Sheet!$A:$A=Class_Wise!$A18),"NA"))</f>
        <v>22</v>
      </c>
      <c r="N18" s="60">
        <v>38</v>
      </c>
      <c r="O18" s="61">
        <v>0</v>
      </c>
      <c r="P18" s="17">
        <v>2.6412037037037036E-2</v>
      </c>
      <c r="Q18" s="22">
        <v>88</v>
      </c>
      <c r="R18" s="22">
        <v>36.67</v>
      </c>
    </row>
    <row r="19" spans="1:18" s="3" customFormat="1" ht="40.25" customHeight="1">
      <c r="A19" s="25" t="str">
        <v>25NGSN6001</v>
      </c>
      <c r="B19" s="25" t="str">
        <v>AAHIL MOHAMMED</v>
      </c>
      <c r="C19" s="57" t="str">
        <f t="shared" si="0"/>
        <v>AB</v>
      </c>
      <c r="D19" s="21" t="str" cm="1">
        <f t="array" ref="D19:L19">IF(ISBLANK($A19),"",_xlfn._xlws.FILTER(Score_Sheet!$AA:$AI,(Score_Sheet!$L:$L=Class_Wise!$B$1)*(Score_Sheet!$A:$A=Class_Wise!$A19),"NA"))</f>
        <v>AB</v>
      </c>
      <c r="E19" s="14" t="str">
        <v>AB</v>
      </c>
      <c r="F19" s="14" t="str">
        <v>AB</v>
      </c>
      <c r="G19" s="21" t="str">
        <v>AB</v>
      </c>
      <c r="H19" s="21" t="str">
        <v>AB</v>
      </c>
      <c r="I19" s="21" t="str">
        <v>AB</v>
      </c>
      <c r="J19" s="21" t="str">
        <v>AB</v>
      </c>
      <c r="K19" s="14" t="str">
        <v>AB</v>
      </c>
      <c r="L19" s="14" t="str">
        <v>AB</v>
      </c>
      <c r="M19" s="59" t="str" cm="1">
        <f t="array" ref="M19:R19">IF(ISBLANK($A19),"",_xlfn._xlws.FILTER(Score_Sheet!$F:$K,(Score_Sheet!$L:$L=Class_Wise!$B$1)*(Score_Sheet!$A:$A=Class_Wise!$A19),"NA"))</f>
        <v>AB</v>
      </c>
      <c r="N19" s="60" t="str">
        <v>AB</v>
      </c>
      <c r="O19" s="61" t="str">
        <v>AB</v>
      </c>
      <c r="P19" s="17" t="str">
        <v>AB</v>
      </c>
      <c r="Q19" s="22" t="str">
        <v>AB</v>
      </c>
      <c r="R19" s="22" t="str">
        <v>AB</v>
      </c>
    </row>
    <row r="20" spans="1:18" s="3" customFormat="1" ht="40.25" customHeight="1">
      <c r="A20" s="25" t="str">
        <v>25NGSN6003</v>
      </c>
      <c r="B20" s="25" t="str">
        <v>BHARGAVI DUBBA</v>
      </c>
      <c r="C20" s="57" t="str">
        <f t="shared" si="0"/>
        <v>AB</v>
      </c>
      <c r="D20" s="21" t="str" cm="1">
        <f t="array" ref="D20:L20">IF(ISBLANK($A20),"",_xlfn._xlws.FILTER(Score_Sheet!$AA:$AI,(Score_Sheet!$L:$L=Class_Wise!$B$1)*(Score_Sheet!$A:$A=Class_Wise!$A20),"NA"))</f>
        <v>AB</v>
      </c>
      <c r="E20" s="14" t="str">
        <v>AB</v>
      </c>
      <c r="F20" s="14" t="str">
        <v>AB</v>
      </c>
      <c r="G20" s="21" t="str">
        <v>AB</v>
      </c>
      <c r="H20" s="21" t="str">
        <v>AB</v>
      </c>
      <c r="I20" s="21" t="str">
        <v>AB</v>
      </c>
      <c r="J20" s="21" t="str">
        <v>AB</v>
      </c>
      <c r="K20" s="14" t="str">
        <v>AB</v>
      </c>
      <c r="L20" s="14" t="str">
        <v>AB</v>
      </c>
      <c r="M20" s="59" t="str" cm="1">
        <f t="array" ref="M20:R20">IF(ISBLANK($A20),"",_xlfn._xlws.FILTER(Score_Sheet!$F:$K,(Score_Sheet!$L:$L=Class_Wise!$B$1)*(Score_Sheet!$A:$A=Class_Wise!$A20),"NA"))</f>
        <v>AB</v>
      </c>
      <c r="N20" s="60" t="str">
        <v>AB</v>
      </c>
      <c r="O20" s="61" t="str">
        <v>AB</v>
      </c>
      <c r="P20" s="17" t="str">
        <v>AB</v>
      </c>
      <c r="Q20" s="22" t="str">
        <v>AB</v>
      </c>
      <c r="R20" s="22" t="str">
        <v>AB</v>
      </c>
    </row>
    <row r="21" spans="1:18" s="3" customFormat="1" ht="40.25" customHeight="1">
      <c r="A21" s="25" t="str">
        <v>25NGSN608</v>
      </c>
      <c r="B21" s="25" t="str">
        <v>P NIRVIGNA</v>
      </c>
      <c r="C21" s="57" t="str">
        <f t="shared" ref="C21" si="1">IF(Q21="AB","AB",IF(ISBLANK($A21),"",_xlfn.IFNA(_xlfn.RANK.EQ(R21,$R$11:$R$100,0),"")))</f>
        <v>AB</v>
      </c>
      <c r="D21" s="21" t="str" cm="1">
        <f t="array" ref="D21:L21">IF(ISBLANK($A21),"",_xlfn._xlws.FILTER(Score_Sheet!$AA:$AI,(Score_Sheet!$L:$L=Class_Wise!$B$1)*(Score_Sheet!$A:$A=Class_Wise!$A21),"NA"))</f>
        <v>AB</v>
      </c>
      <c r="E21" s="14" t="str">
        <v>AB</v>
      </c>
      <c r="F21" s="14" t="str">
        <v>AB</v>
      </c>
      <c r="G21" s="21" t="str">
        <v>AB</v>
      </c>
      <c r="H21" s="21" t="str">
        <v>AB</v>
      </c>
      <c r="I21" s="21" t="str">
        <v>AB</v>
      </c>
      <c r="J21" s="21" t="str">
        <v>AB</v>
      </c>
      <c r="K21" s="14" t="str">
        <v>AB</v>
      </c>
      <c r="L21" s="14" t="str">
        <v>AB</v>
      </c>
      <c r="M21" s="59" t="str" cm="1">
        <f t="array" ref="M21:R21">IF(ISBLANK($A21),"",_xlfn._xlws.FILTER(Score_Sheet!$F:$K,(Score_Sheet!$L:$L=Class_Wise!$B$1)*(Score_Sheet!$A:$A=Class_Wise!$A21),"NA"))</f>
        <v>AB</v>
      </c>
      <c r="N21" s="60" t="str">
        <v>AB</v>
      </c>
      <c r="O21" s="61" t="str">
        <v>AB</v>
      </c>
      <c r="P21" s="17" t="str">
        <v>AB</v>
      </c>
      <c r="Q21" s="22" t="str">
        <v>AB</v>
      </c>
      <c r="R21" s="22" t="str">
        <v>AB</v>
      </c>
    </row>
    <row r="22" spans="1:18" s="3" customFormat="1" ht="40.25" customHeight="1">
      <c r="A22" s="25" t="str">
        <v>25NGSN617</v>
      </c>
      <c r="B22" s="25" t="str">
        <v>A. Vedick</v>
      </c>
      <c r="C22" s="57" t="str">
        <f t="shared" ref="C22:C58" si="2">IF(Q22="AB","AB",IF(ISBLANK($A22),"",_xlfn.IFNA(_xlfn.RANK.EQ(R22,$R$11:$R$100,0),"")))</f>
        <v>AB</v>
      </c>
      <c r="D22" s="21" t="str" cm="1">
        <f t="array" ref="D22:L22">IF(ISBLANK($A22),"",_xlfn._xlws.FILTER(Score_Sheet!$AA:$AI,(Score_Sheet!$L:$L=Class_Wise!$B$1)*(Score_Sheet!$A:$A=Class_Wise!$A22),"NA"))</f>
        <v>AB</v>
      </c>
      <c r="E22" s="14" t="str">
        <v>AB</v>
      </c>
      <c r="F22" s="14" t="str">
        <v>AB</v>
      </c>
      <c r="G22" s="21" t="str">
        <v>AB</v>
      </c>
      <c r="H22" s="21" t="str">
        <v>AB</v>
      </c>
      <c r="I22" s="21" t="str">
        <v>AB</v>
      </c>
      <c r="J22" s="21" t="str">
        <v>AB</v>
      </c>
      <c r="K22" s="14" t="str">
        <v>AB</v>
      </c>
      <c r="L22" s="14" t="str">
        <v>AB</v>
      </c>
      <c r="M22" s="59" t="str" cm="1">
        <f t="array" ref="M22:R22">IF(ISBLANK($A22),"",_xlfn._xlws.FILTER(Score_Sheet!$F:$K,(Score_Sheet!$L:$L=Class_Wise!$B$1)*(Score_Sheet!$A:$A=Class_Wise!$A22),"NA"))</f>
        <v>AB</v>
      </c>
      <c r="N22" s="60" t="str">
        <v>AB</v>
      </c>
      <c r="O22" s="61" t="str">
        <v>AB</v>
      </c>
      <c r="P22" s="17" t="str">
        <v>AB</v>
      </c>
      <c r="Q22" s="22" t="str">
        <v>AB</v>
      </c>
      <c r="R22" s="22" t="str">
        <v>AB</v>
      </c>
    </row>
    <row r="23" spans="1:18" s="3" customFormat="1" ht="40.25" customHeight="1">
      <c r="A23" s="25"/>
      <c r="B23" s="25"/>
      <c r="C23" s="57" t="str">
        <f t="shared" si="2"/>
        <v/>
      </c>
      <c r="D23" s="21" t="str" cm="1">
        <f t="array" ref="D23">IF(ISBLANK($A23),"",_xlfn._xlws.FILTER(Score_Sheet!$AA:$AI,(Score_Sheet!$L:$L=Class_Wise!$B$1)*(Score_Sheet!$A:$A=Class_Wise!$A23),"NA"))</f>
        <v/>
      </c>
      <c r="E23" s="14"/>
      <c r="F23" s="14"/>
      <c r="G23" s="21"/>
      <c r="H23" s="21"/>
      <c r="I23" s="21"/>
      <c r="J23" s="21"/>
      <c r="K23" s="14"/>
      <c r="L23" s="14"/>
      <c r="M23" s="59" t="str" cm="1">
        <f t="array" ref="M23">IF(ISBLANK($A23),"",_xlfn._xlws.FILTER(Score_Sheet!$F:$K,(Score_Sheet!$L:$L=Class_Wise!$B$1)*(Score_Sheet!$A:$A=Class_Wise!$A23),"NA"))</f>
        <v/>
      </c>
      <c r="N23" s="60"/>
      <c r="O23" s="61"/>
      <c r="P23" s="17"/>
      <c r="Q23" s="22"/>
      <c r="R23" s="22"/>
    </row>
    <row r="24" spans="1:18" s="3" customFormat="1" ht="40.25" customHeight="1">
      <c r="A24" s="25"/>
      <c r="B24" s="25"/>
      <c r="C24" s="57" t="str">
        <f t="shared" si="2"/>
        <v/>
      </c>
      <c r="D24" s="21" t="str" cm="1">
        <f t="array" ref="D24">IF(ISBLANK($A24),"",_xlfn._xlws.FILTER(Score_Sheet!$AA:$AI,(Score_Sheet!$L:$L=Class_Wise!$B$1)*(Score_Sheet!$A:$A=Class_Wise!$A24),"NA"))</f>
        <v/>
      </c>
      <c r="E24" s="14"/>
      <c r="F24" s="14"/>
      <c r="G24" s="21"/>
      <c r="H24" s="21"/>
      <c r="I24" s="21"/>
      <c r="J24" s="21"/>
      <c r="K24" s="14"/>
      <c r="L24" s="14"/>
      <c r="M24" s="59" t="str" cm="1">
        <f t="array" ref="M24">IF(ISBLANK($A24),"",_xlfn._xlws.FILTER(Score_Sheet!$F:$K,(Score_Sheet!$L:$L=Class_Wise!$B$1)*(Score_Sheet!$A:$A=Class_Wise!$A24),"NA"))</f>
        <v/>
      </c>
      <c r="N24" s="60"/>
      <c r="O24" s="61"/>
      <c r="P24" s="17"/>
      <c r="Q24" s="22"/>
      <c r="R24" s="22"/>
    </row>
    <row r="25" spans="1:18" s="3" customFormat="1" ht="40.25" customHeight="1">
      <c r="A25" s="25"/>
      <c r="B25" s="25"/>
      <c r="C25" s="57" t="str">
        <f t="shared" si="2"/>
        <v/>
      </c>
      <c r="D25" s="21" t="str" cm="1">
        <f t="array" ref="D25">IF(ISBLANK($A25),"",_xlfn._xlws.FILTER(Score_Sheet!$AA:$AI,(Score_Sheet!$L:$L=Class_Wise!$B$1)*(Score_Sheet!$A:$A=Class_Wise!$A25),"NA"))</f>
        <v/>
      </c>
      <c r="E25" s="14"/>
      <c r="F25" s="14"/>
      <c r="G25" s="21"/>
      <c r="H25" s="21"/>
      <c r="I25" s="21"/>
      <c r="J25" s="21"/>
      <c r="K25" s="14"/>
      <c r="L25" s="14"/>
      <c r="M25" s="59" t="str" cm="1">
        <f t="array" ref="M25">IF(ISBLANK($A25),"",_xlfn._xlws.FILTER(Score_Sheet!$F:$K,(Score_Sheet!$L:$L=Class_Wise!$B$1)*(Score_Sheet!$A:$A=Class_Wise!$A25),"NA"))</f>
        <v/>
      </c>
      <c r="N25" s="60"/>
      <c r="O25" s="61"/>
      <c r="P25" s="17"/>
      <c r="Q25" s="22"/>
      <c r="R25" s="22"/>
    </row>
    <row r="26" spans="1:18" s="3" customFormat="1" ht="40.25" customHeight="1">
      <c r="A26" s="25"/>
      <c r="B26" s="25"/>
      <c r="C26" s="57" t="str">
        <f t="shared" si="2"/>
        <v/>
      </c>
      <c r="D26" s="21" t="str" cm="1">
        <f t="array" ref="D26">IF(ISBLANK($A26),"",_xlfn._xlws.FILTER(Score_Sheet!$AA:$AI,(Score_Sheet!$L:$L=Class_Wise!$B$1)*(Score_Sheet!$A:$A=Class_Wise!$A26),"NA"))</f>
        <v/>
      </c>
      <c r="E26" s="14"/>
      <c r="F26" s="14"/>
      <c r="G26" s="21"/>
      <c r="H26" s="21"/>
      <c r="I26" s="21"/>
      <c r="J26" s="21"/>
      <c r="K26" s="14"/>
      <c r="L26" s="14"/>
      <c r="M26" s="59" t="str" cm="1">
        <f t="array" ref="M26">IF(ISBLANK($A26),"",_xlfn._xlws.FILTER(Score_Sheet!$F:$K,(Score_Sheet!$L:$L=Class_Wise!$B$1)*(Score_Sheet!$A:$A=Class_Wise!$A26),"NA"))</f>
        <v/>
      </c>
      <c r="N26" s="60"/>
      <c r="O26" s="61"/>
      <c r="P26" s="17"/>
      <c r="Q26" s="22"/>
      <c r="R26" s="22"/>
    </row>
    <row r="27" spans="1:18" s="3" customFormat="1" ht="40.25" customHeight="1">
      <c r="A27" s="25"/>
      <c r="B27" s="25"/>
      <c r="C27" s="57" t="str">
        <f t="shared" si="2"/>
        <v/>
      </c>
      <c r="D27" s="21" t="str" cm="1">
        <f t="array" ref="D27">IF(ISBLANK($A27),"",_xlfn._xlws.FILTER(Score_Sheet!$AA:$AI,(Score_Sheet!$L:$L=Class_Wise!$B$1)*(Score_Sheet!$A:$A=Class_Wise!$A27),"NA"))</f>
        <v/>
      </c>
      <c r="E27" s="14"/>
      <c r="F27" s="14"/>
      <c r="G27" s="21"/>
      <c r="H27" s="21"/>
      <c r="I27" s="21"/>
      <c r="J27" s="21"/>
      <c r="K27" s="14"/>
      <c r="L27" s="14"/>
      <c r="M27" s="59" t="str" cm="1">
        <f t="array" ref="M27">IF(ISBLANK($A27),"",_xlfn._xlws.FILTER(Score_Sheet!$F:$K,(Score_Sheet!$L:$L=Class_Wise!$B$1)*(Score_Sheet!$A:$A=Class_Wise!$A27),"NA"))</f>
        <v/>
      </c>
      <c r="N27" s="60"/>
      <c r="O27" s="61"/>
      <c r="P27" s="17"/>
      <c r="Q27" s="22"/>
      <c r="R27" s="22"/>
    </row>
    <row r="28" spans="1:18" s="3" customFormat="1" ht="40.25" customHeight="1">
      <c r="A28" s="25"/>
      <c r="B28" s="25"/>
      <c r="C28" s="57" t="str">
        <f t="shared" si="2"/>
        <v/>
      </c>
      <c r="D28" s="21" t="str" cm="1">
        <f t="array" ref="D28">IF(ISBLANK($A28),"",_xlfn._xlws.FILTER(Score_Sheet!$AA:$AI,(Score_Sheet!$L:$L=Class_Wise!$B$1)*(Score_Sheet!$A:$A=Class_Wise!$A28),"NA"))</f>
        <v/>
      </c>
      <c r="E28" s="14"/>
      <c r="F28" s="14"/>
      <c r="G28" s="21"/>
      <c r="H28" s="21"/>
      <c r="I28" s="21"/>
      <c r="J28" s="21"/>
      <c r="K28" s="14"/>
      <c r="L28" s="14"/>
      <c r="M28" s="59" t="str" cm="1">
        <f t="array" ref="M28">IF(ISBLANK($A28),"",_xlfn._xlws.FILTER(Score_Sheet!$F:$K,(Score_Sheet!$L:$L=Class_Wise!$B$1)*(Score_Sheet!$A:$A=Class_Wise!$A28),"NA"))</f>
        <v/>
      </c>
      <c r="N28" s="60"/>
      <c r="O28" s="61"/>
      <c r="P28" s="17"/>
      <c r="Q28" s="22"/>
      <c r="R28" s="22"/>
    </row>
    <row r="29" spans="1:18" s="3" customFormat="1" ht="40.25" customHeight="1">
      <c r="A29" s="25"/>
      <c r="B29" s="25"/>
      <c r="C29" s="57" t="str">
        <f t="shared" si="2"/>
        <v/>
      </c>
      <c r="D29" s="21" t="str" cm="1">
        <f t="array" ref="D29">IF(ISBLANK($A29),"",_xlfn._xlws.FILTER(Score_Sheet!$AA:$AI,(Score_Sheet!$L:$L=Class_Wise!$B$1)*(Score_Sheet!$A:$A=Class_Wise!$A29),"NA"))</f>
        <v/>
      </c>
      <c r="E29" s="14"/>
      <c r="F29" s="14"/>
      <c r="G29" s="21"/>
      <c r="H29" s="21"/>
      <c r="I29" s="21"/>
      <c r="J29" s="21"/>
      <c r="K29" s="14"/>
      <c r="L29" s="14"/>
      <c r="M29" s="59" t="str" cm="1">
        <f t="array" ref="M29">IF(ISBLANK($A29),"",_xlfn._xlws.FILTER(Score_Sheet!$F:$K,(Score_Sheet!$L:$L=Class_Wise!$B$1)*(Score_Sheet!$A:$A=Class_Wise!$A29),"NA"))</f>
        <v/>
      </c>
      <c r="N29" s="60"/>
      <c r="O29" s="61"/>
      <c r="P29" s="17"/>
      <c r="Q29" s="22"/>
      <c r="R29" s="22"/>
    </row>
    <row r="30" spans="1:18" s="3" customFormat="1" ht="40.25" customHeight="1">
      <c r="A30" s="25"/>
      <c r="B30" s="25"/>
      <c r="C30" s="57" t="str">
        <f t="shared" si="2"/>
        <v/>
      </c>
      <c r="D30" s="21" t="str" cm="1">
        <f t="array" ref="D30">IF(ISBLANK($A30),"",_xlfn._xlws.FILTER(Score_Sheet!$AA:$AI,(Score_Sheet!$L:$L=Class_Wise!$B$1)*(Score_Sheet!$A:$A=Class_Wise!$A30),"NA"))</f>
        <v/>
      </c>
      <c r="E30" s="14"/>
      <c r="F30" s="14"/>
      <c r="G30" s="21"/>
      <c r="H30" s="21"/>
      <c r="I30" s="21"/>
      <c r="J30" s="21"/>
      <c r="K30" s="14"/>
      <c r="L30" s="14"/>
      <c r="M30" s="59" t="str" cm="1">
        <f t="array" ref="M30">IF(ISBLANK($A30),"",_xlfn._xlws.FILTER(Score_Sheet!$F:$K,(Score_Sheet!$L:$L=Class_Wise!$B$1)*(Score_Sheet!$A:$A=Class_Wise!$A30),"NA"))</f>
        <v/>
      </c>
      <c r="N30" s="60"/>
      <c r="O30" s="61"/>
      <c r="P30" s="17"/>
      <c r="Q30" s="22"/>
      <c r="R30" s="22"/>
    </row>
    <row r="31" spans="1:18" s="3" customFormat="1" ht="40.25" customHeight="1">
      <c r="A31" s="25"/>
      <c r="B31" s="25"/>
      <c r="C31" s="57" t="str">
        <f t="shared" si="2"/>
        <v/>
      </c>
      <c r="D31" s="21" t="str" cm="1">
        <f t="array" ref="D31">IF(ISBLANK($A31),"",_xlfn._xlws.FILTER(Score_Sheet!$AA:$AI,(Score_Sheet!$L:$L=Class_Wise!$B$1)*(Score_Sheet!$A:$A=Class_Wise!$A31),"NA"))</f>
        <v/>
      </c>
      <c r="E31" s="14"/>
      <c r="F31" s="14"/>
      <c r="G31" s="21"/>
      <c r="H31" s="21"/>
      <c r="I31" s="21"/>
      <c r="J31" s="21"/>
      <c r="K31" s="14"/>
      <c r="L31" s="14"/>
      <c r="M31" s="59" t="str" cm="1">
        <f t="array" ref="M31">IF(ISBLANK($A31),"",_xlfn._xlws.FILTER(Score_Sheet!$F:$K,(Score_Sheet!$L:$L=Class_Wise!$B$1)*(Score_Sheet!$A:$A=Class_Wise!$A31),"NA"))</f>
        <v/>
      </c>
      <c r="N31" s="60"/>
      <c r="O31" s="61"/>
      <c r="P31" s="17"/>
      <c r="Q31" s="22"/>
      <c r="R31" s="22"/>
    </row>
    <row r="32" spans="1:18" s="3" customFormat="1" ht="40.25" customHeight="1">
      <c r="A32" s="25"/>
      <c r="B32" s="25"/>
      <c r="C32" s="57" t="str">
        <f t="shared" si="2"/>
        <v/>
      </c>
      <c r="D32" s="21" t="str" cm="1">
        <f t="array" ref="D32">IF(ISBLANK($A32),"",_xlfn._xlws.FILTER(Score_Sheet!$AA:$AI,(Score_Sheet!$L:$L=Class_Wise!$B$1)*(Score_Sheet!$A:$A=Class_Wise!$A32),"NA"))</f>
        <v/>
      </c>
      <c r="E32" s="14"/>
      <c r="F32" s="14"/>
      <c r="G32" s="21"/>
      <c r="H32" s="21"/>
      <c r="I32" s="21"/>
      <c r="J32" s="21"/>
      <c r="K32" s="14"/>
      <c r="L32" s="14"/>
      <c r="M32" s="59" t="str" cm="1">
        <f t="array" ref="M32">IF(ISBLANK($A32),"",_xlfn._xlws.FILTER(Score_Sheet!$F:$K,(Score_Sheet!$L:$L=Class_Wise!$B$1)*(Score_Sheet!$A:$A=Class_Wise!$A32),"NA"))</f>
        <v/>
      </c>
      <c r="N32" s="60"/>
      <c r="O32" s="61"/>
      <c r="P32" s="17"/>
      <c r="Q32" s="22"/>
      <c r="R32" s="22"/>
    </row>
    <row r="33" spans="1:18" s="3" customFormat="1" ht="40.25" customHeight="1">
      <c r="A33" s="25"/>
      <c r="B33" s="25"/>
      <c r="C33" s="57" t="str">
        <f t="shared" si="2"/>
        <v/>
      </c>
      <c r="D33" s="21" t="str" cm="1">
        <f t="array" ref="D33">IF(ISBLANK($A33),"",_xlfn._xlws.FILTER(Score_Sheet!$AA:$AI,(Score_Sheet!$L:$L=Class_Wise!$B$1)*(Score_Sheet!$A:$A=Class_Wise!$A33),"NA"))</f>
        <v/>
      </c>
      <c r="E33" s="14"/>
      <c r="F33" s="14"/>
      <c r="G33" s="21"/>
      <c r="H33" s="21"/>
      <c r="I33" s="21"/>
      <c r="J33" s="21"/>
      <c r="K33" s="14"/>
      <c r="L33" s="14"/>
      <c r="M33" s="59" t="str" cm="1">
        <f t="array" ref="M33">IF(ISBLANK($A33),"",_xlfn._xlws.FILTER(Score_Sheet!$F:$K,(Score_Sheet!$L:$L=Class_Wise!$B$1)*(Score_Sheet!$A:$A=Class_Wise!$A33),"NA"))</f>
        <v/>
      </c>
      <c r="N33" s="60"/>
      <c r="O33" s="61"/>
      <c r="P33" s="17"/>
      <c r="Q33" s="22"/>
      <c r="R33" s="22"/>
    </row>
    <row r="34" spans="1:18" s="3" customFormat="1" ht="40.25" customHeight="1">
      <c r="A34" s="25"/>
      <c r="B34" s="25"/>
      <c r="C34" s="57" t="str">
        <f t="shared" si="2"/>
        <v/>
      </c>
      <c r="D34" s="21" t="str" cm="1">
        <f t="array" ref="D34">IF(ISBLANK($A34),"",_xlfn._xlws.FILTER(Score_Sheet!$AA:$AI,(Score_Sheet!$L:$L=Class_Wise!$B$1)*(Score_Sheet!$A:$A=Class_Wise!$A34),"NA"))</f>
        <v/>
      </c>
      <c r="E34" s="14"/>
      <c r="F34" s="14"/>
      <c r="G34" s="21"/>
      <c r="H34" s="21"/>
      <c r="I34" s="21"/>
      <c r="J34" s="21"/>
      <c r="K34" s="14"/>
      <c r="L34" s="14"/>
      <c r="M34" s="59" t="str" cm="1">
        <f t="array" ref="M34">IF(ISBLANK($A34),"",_xlfn._xlws.FILTER(Score_Sheet!$F:$K,(Score_Sheet!$L:$L=Class_Wise!$B$1)*(Score_Sheet!$A:$A=Class_Wise!$A34),"NA"))</f>
        <v/>
      </c>
      <c r="N34" s="60"/>
      <c r="O34" s="61"/>
      <c r="P34" s="17"/>
      <c r="Q34" s="22"/>
      <c r="R34" s="22"/>
    </row>
    <row r="35" spans="1:18" s="3" customFormat="1" ht="40.25" customHeight="1">
      <c r="A35" s="25"/>
      <c r="B35" s="25"/>
      <c r="C35" s="57" t="str">
        <f t="shared" si="2"/>
        <v/>
      </c>
      <c r="D35" s="21" t="str" cm="1">
        <f t="array" ref="D35">IF(ISBLANK($A35),"",_xlfn._xlws.FILTER(Score_Sheet!$AA:$AI,(Score_Sheet!$L:$L=Class_Wise!$B$1)*(Score_Sheet!$A:$A=Class_Wise!$A35),"NA"))</f>
        <v/>
      </c>
      <c r="E35" s="14"/>
      <c r="F35" s="14"/>
      <c r="G35" s="21"/>
      <c r="H35" s="21"/>
      <c r="I35" s="21"/>
      <c r="J35" s="21"/>
      <c r="K35" s="14"/>
      <c r="L35" s="14"/>
      <c r="M35" s="59" t="str" cm="1">
        <f t="array" ref="M35">IF(ISBLANK($A35),"",_xlfn._xlws.FILTER(Score_Sheet!$F:$K,(Score_Sheet!$L:$L=Class_Wise!$B$1)*(Score_Sheet!$A:$A=Class_Wise!$A35),"NA"))</f>
        <v/>
      </c>
      <c r="N35" s="60"/>
      <c r="O35" s="61"/>
      <c r="P35" s="17"/>
      <c r="Q35" s="22"/>
      <c r="R35" s="22"/>
    </row>
    <row r="36" spans="1:18" s="3" customFormat="1" ht="40.25" customHeight="1">
      <c r="A36" s="25"/>
      <c r="B36" s="25"/>
      <c r="C36" s="57" t="str">
        <f t="shared" si="2"/>
        <v/>
      </c>
      <c r="D36" s="21" t="str" cm="1">
        <f t="array" ref="D36">IF(ISBLANK($A36),"",_xlfn._xlws.FILTER(Score_Sheet!$AA:$AI,(Score_Sheet!$L:$L=Class_Wise!$B$1)*(Score_Sheet!$A:$A=Class_Wise!$A36),"NA"))</f>
        <v/>
      </c>
      <c r="E36" s="14"/>
      <c r="F36" s="14"/>
      <c r="G36" s="21"/>
      <c r="H36" s="21"/>
      <c r="I36" s="21"/>
      <c r="J36" s="21"/>
      <c r="K36" s="14"/>
      <c r="L36" s="14"/>
      <c r="M36" s="62" t="str" cm="1">
        <f t="array" ref="M36">IF(ISBLANK($A36),"",_xlfn._xlws.FILTER(Score_Sheet!$F:$K,(Score_Sheet!$L:$L=Class_Wise!$B$1)*(Score_Sheet!$A:$A=Class_Wise!$A36),"NA"))</f>
        <v/>
      </c>
      <c r="N36" s="60"/>
      <c r="O36" s="61"/>
      <c r="P36" s="17"/>
      <c r="Q36" s="22"/>
      <c r="R36" s="22"/>
    </row>
    <row r="37" spans="1:18" s="3" customFormat="1" ht="40.25" customHeight="1">
      <c r="A37" s="25"/>
      <c r="B37" s="25"/>
      <c r="C37" s="57" t="str">
        <f t="shared" si="2"/>
        <v/>
      </c>
      <c r="D37" s="21" t="str" cm="1">
        <f t="array" ref="D37">IF(ISBLANK($A37),"",_xlfn._xlws.FILTER(Score_Sheet!$AA:$AI,(Score_Sheet!$L:$L=Class_Wise!$B$1)*(Score_Sheet!$A:$A=Class_Wise!$A37),"NA"))</f>
        <v/>
      </c>
      <c r="E37" s="14"/>
      <c r="F37" s="14"/>
      <c r="G37" s="21"/>
      <c r="H37" s="21"/>
      <c r="I37" s="21"/>
      <c r="J37" s="21"/>
      <c r="K37" s="14"/>
      <c r="L37" s="14"/>
      <c r="M37" s="62" t="str" cm="1">
        <f t="array" ref="M37">IF(ISBLANK($A37),"",_xlfn._xlws.FILTER(Score_Sheet!$F:$K,(Score_Sheet!$L:$L=Class_Wise!$B$1)*(Score_Sheet!$A:$A=Class_Wise!$A37),"NA"))</f>
        <v/>
      </c>
      <c r="N37" s="60"/>
      <c r="O37" s="61"/>
      <c r="P37" s="17"/>
      <c r="Q37" s="22"/>
      <c r="R37" s="22"/>
    </row>
    <row r="38" spans="1:18" s="3" customFormat="1" ht="40.25" customHeight="1">
      <c r="A38" s="25"/>
      <c r="B38" s="25"/>
      <c r="C38" s="57" t="str">
        <f t="shared" si="2"/>
        <v/>
      </c>
      <c r="D38" s="21" t="str" cm="1">
        <f t="array" ref="D38">IF(ISBLANK($A38),"",_xlfn._xlws.FILTER(Score_Sheet!$AA:$AI,(Score_Sheet!$L:$L=Class_Wise!$B$1)*(Score_Sheet!$A:$A=Class_Wise!$A38),"NA"))</f>
        <v/>
      </c>
      <c r="E38" s="14"/>
      <c r="F38" s="14"/>
      <c r="G38" s="21"/>
      <c r="H38" s="21"/>
      <c r="I38" s="21"/>
      <c r="J38" s="21"/>
      <c r="K38" s="14"/>
      <c r="L38" s="14"/>
      <c r="M38" s="62" t="str" cm="1">
        <f t="array" ref="M38">IF(ISBLANK($A38),"",_xlfn._xlws.FILTER(Score_Sheet!$F:$K,(Score_Sheet!$L:$L=Class_Wise!$B$1)*(Score_Sheet!$A:$A=Class_Wise!$A38),"NA"))</f>
        <v/>
      </c>
      <c r="N38" s="60"/>
      <c r="O38" s="61"/>
      <c r="P38" s="17"/>
      <c r="Q38" s="22"/>
      <c r="R38" s="22"/>
    </row>
    <row r="39" spans="1:18" s="3" customFormat="1" ht="40.25" customHeight="1">
      <c r="A39" s="25"/>
      <c r="B39" s="25"/>
      <c r="C39" s="57" t="str">
        <f t="shared" si="2"/>
        <v/>
      </c>
      <c r="D39" s="21" t="str" cm="1">
        <f t="array" ref="D39">IF(ISBLANK($A39),"",_xlfn._xlws.FILTER(Score_Sheet!$AA:$AI,(Score_Sheet!$L:$L=Class_Wise!$B$1)*(Score_Sheet!$A:$A=Class_Wise!$A39),"NA"))</f>
        <v/>
      </c>
      <c r="E39" s="14"/>
      <c r="F39" s="14"/>
      <c r="G39" s="21"/>
      <c r="H39" s="21"/>
      <c r="I39" s="21"/>
      <c r="J39" s="21"/>
      <c r="K39" s="14"/>
      <c r="L39" s="14"/>
      <c r="M39" s="62" t="str" cm="1">
        <f t="array" ref="M39">IF(ISBLANK($A39),"",_xlfn._xlws.FILTER(Score_Sheet!$F:$K,(Score_Sheet!$L:$L=Class_Wise!$B$1)*(Score_Sheet!$A:$A=Class_Wise!$A39),"NA"))</f>
        <v/>
      </c>
      <c r="N39" s="60"/>
      <c r="O39" s="61"/>
      <c r="P39" s="17"/>
      <c r="Q39" s="22"/>
      <c r="R39" s="22"/>
    </row>
    <row r="40" spans="1:18" s="3" customFormat="1" ht="40.25" customHeight="1">
      <c r="A40" s="25"/>
      <c r="B40" s="25"/>
      <c r="C40" s="57" t="str">
        <f t="shared" si="2"/>
        <v/>
      </c>
      <c r="D40" s="21" t="str" cm="1">
        <f t="array" ref="D40">IF(ISBLANK($A40),"",_xlfn._xlws.FILTER(Score_Sheet!$AA:$AI,(Score_Sheet!$L:$L=Class_Wise!$B$1)*(Score_Sheet!$A:$A=Class_Wise!$A40),"NA"))</f>
        <v/>
      </c>
      <c r="E40" s="14"/>
      <c r="F40" s="14"/>
      <c r="G40" s="21"/>
      <c r="H40" s="21"/>
      <c r="I40" s="21"/>
      <c r="J40" s="21"/>
      <c r="K40" s="14"/>
      <c r="L40" s="14"/>
      <c r="M40" s="62" t="str" cm="1">
        <f t="array" ref="M40">IF(ISBLANK($A40),"",_xlfn._xlws.FILTER(Score_Sheet!$F:$K,(Score_Sheet!$L:$L=Class_Wise!$B$1)*(Score_Sheet!$A:$A=Class_Wise!$A40),"NA"))</f>
        <v/>
      </c>
      <c r="N40" s="60"/>
      <c r="O40" s="61"/>
      <c r="P40" s="17"/>
      <c r="Q40" s="22"/>
      <c r="R40" s="22"/>
    </row>
    <row r="41" spans="1:18" s="3" customFormat="1" ht="40.25" customHeight="1">
      <c r="A41" s="25"/>
      <c r="B41" s="25"/>
      <c r="C41" s="57" t="str">
        <f t="shared" si="2"/>
        <v/>
      </c>
      <c r="D41" s="21" t="str" cm="1">
        <f t="array" ref="D41">IF(ISBLANK($A41),"",_xlfn._xlws.FILTER(Score_Sheet!$AA:$AI,(Score_Sheet!$L:$L=Class_Wise!$B$1)*(Score_Sheet!$A:$A=Class_Wise!$A41),"NA"))</f>
        <v/>
      </c>
      <c r="E41" s="14"/>
      <c r="F41" s="14"/>
      <c r="G41" s="21"/>
      <c r="H41" s="21"/>
      <c r="I41" s="21"/>
      <c r="J41" s="21"/>
      <c r="K41" s="14"/>
      <c r="L41" s="14"/>
      <c r="M41" s="62" t="str" cm="1">
        <f t="array" ref="M41">IF(ISBLANK($A41),"",_xlfn._xlws.FILTER(Score_Sheet!$F:$K,(Score_Sheet!$L:$L=Class_Wise!$B$1)*(Score_Sheet!$A:$A=Class_Wise!$A41),"NA"))</f>
        <v/>
      </c>
      <c r="N41" s="60"/>
      <c r="O41" s="61"/>
      <c r="P41" s="17"/>
      <c r="Q41" s="22"/>
      <c r="R41" s="22"/>
    </row>
    <row r="42" spans="1:18" s="3" customFormat="1" ht="40.25" customHeight="1">
      <c r="A42" s="25"/>
      <c r="B42" s="25"/>
      <c r="C42" s="57" t="str">
        <f t="shared" si="2"/>
        <v/>
      </c>
      <c r="D42" s="21" t="str" cm="1">
        <f t="array" ref="D42">IF(ISBLANK($A42),"",_xlfn._xlws.FILTER(Score_Sheet!$AA:$AI,(Score_Sheet!$L:$L=Class_Wise!$B$1)*(Score_Sheet!$A:$A=Class_Wise!$A42),"NA"))</f>
        <v/>
      </c>
      <c r="E42" s="14"/>
      <c r="F42" s="14"/>
      <c r="G42" s="21"/>
      <c r="H42" s="21"/>
      <c r="I42" s="21"/>
      <c r="J42" s="21"/>
      <c r="K42" s="14"/>
      <c r="L42" s="14"/>
      <c r="M42" s="62" t="str" cm="1">
        <f t="array" ref="M42">IF(ISBLANK($A42),"",_xlfn._xlws.FILTER(Score_Sheet!$F:$K,(Score_Sheet!$L:$L=Class_Wise!$B$1)*(Score_Sheet!$A:$A=Class_Wise!$A42),"NA"))</f>
        <v/>
      </c>
      <c r="N42" s="60"/>
      <c r="O42" s="61"/>
      <c r="P42" s="17"/>
      <c r="Q42" s="22"/>
      <c r="R42" s="22"/>
    </row>
    <row r="43" spans="1:18" s="3" customFormat="1" ht="40.25" customHeight="1">
      <c r="A43" s="25"/>
      <c r="B43" s="25"/>
      <c r="C43" s="57" t="str">
        <f t="shared" si="2"/>
        <v/>
      </c>
      <c r="D43" s="21" t="str" cm="1">
        <f t="array" ref="D43">IF(ISBLANK($A43),"",_xlfn._xlws.FILTER(Score_Sheet!$AA:$AI,(Score_Sheet!$L:$L=Class_Wise!$B$1)*(Score_Sheet!$A:$A=Class_Wise!$A43),"NA"))</f>
        <v/>
      </c>
      <c r="E43" s="14"/>
      <c r="F43" s="14"/>
      <c r="G43" s="21"/>
      <c r="H43" s="21"/>
      <c r="I43" s="21"/>
      <c r="J43" s="21"/>
      <c r="K43" s="14"/>
      <c r="L43" s="14"/>
      <c r="M43" s="62" t="str" cm="1">
        <f t="array" ref="M43">IF(ISBLANK($A43),"",_xlfn._xlws.FILTER(Score_Sheet!$F:$K,(Score_Sheet!$L:$L=Class_Wise!$B$1)*(Score_Sheet!$A:$A=Class_Wise!$A43),"NA"))</f>
        <v/>
      </c>
      <c r="N43" s="60"/>
      <c r="O43" s="61"/>
      <c r="P43" s="17"/>
      <c r="Q43" s="22"/>
      <c r="R43" s="22"/>
    </row>
    <row r="44" spans="1:18" s="3" customFormat="1" ht="40.25" customHeight="1">
      <c r="A44" s="25"/>
      <c r="B44" s="25"/>
      <c r="C44" s="57" t="str">
        <f t="shared" si="2"/>
        <v/>
      </c>
      <c r="D44" s="21" t="str" cm="1">
        <f t="array" ref="D44">IF(ISBLANK($A44),"",_xlfn._xlws.FILTER(Score_Sheet!$AA:$AI,(Score_Sheet!$L:$L=Class_Wise!$B$1)*(Score_Sheet!$A:$A=Class_Wise!$A44),"NA"))</f>
        <v/>
      </c>
      <c r="E44" s="14"/>
      <c r="F44" s="14"/>
      <c r="G44" s="21"/>
      <c r="H44" s="21"/>
      <c r="I44" s="21"/>
      <c r="J44" s="21"/>
      <c r="K44" s="14"/>
      <c r="L44" s="14"/>
      <c r="M44" s="62" t="str" cm="1">
        <f t="array" ref="M44">IF(ISBLANK($A44),"",_xlfn._xlws.FILTER(Score_Sheet!$F:$K,(Score_Sheet!$L:$L=Class_Wise!$B$1)*(Score_Sheet!$A:$A=Class_Wise!$A44),"NA"))</f>
        <v/>
      </c>
      <c r="N44" s="60"/>
      <c r="O44" s="61"/>
      <c r="P44" s="17"/>
      <c r="Q44" s="22"/>
      <c r="R44" s="22"/>
    </row>
    <row r="45" spans="1:18" s="3" customFormat="1" ht="40.25" customHeight="1">
      <c r="A45" s="25"/>
      <c r="B45" s="25"/>
      <c r="C45" s="57" t="str">
        <f t="shared" si="2"/>
        <v/>
      </c>
      <c r="D45" s="21" t="str" cm="1">
        <f t="array" ref="D45">IF(ISBLANK($A45),"",_xlfn._xlws.FILTER(Score_Sheet!$AA:$AI,(Score_Sheet!$L:$L=Class_Wise!$B$1)*(Score_Sheet!$A:$A=Class_Wise!$A45),"NA"))</f>
        <v/>
      </c>
      <c r="E45" s="14"/>
      <c r="F45" s="14"/>
      <c r="G45" s="21"/>
      <c r="H45" s="21"/>
      <c r="I45" s="21"/>
      <c r="J45" s="21"/>
      <c r="K45" s="14"/>
      <c r="L45" s="14"/>
      <c r="M45" s="62" t="str" cm="1">
        <f t="array" ref="M45">IF(ISBLANK($A45),"",_xlfn._xlws.FILTER(Score_Sheet!$F:$K,(Score_Sheet!$L:$L=Class_Wise!$B$1)*(Score_Sheet!$A:$A=Class_Wise!$A45),"NA"))</f>
        <v/>
      </c>
      <c r="N45" s="60"/>
      <c r="O45" s="61"/>
      <c r="P45" s="17"/>
      <c r="Q45" s="22"/>
      <c r="R45" s="22"/>
    </row>
    <row r="46" spans="1:18" s="3" customFormat="1" ht="40.25" customHeight="1">
      <c r="A46" s="25"/>
      <c r="B46" s="25"/>
      <c r="C46" s="57" t="str">
        <f t="shared" si="2"/>
        <v/>
      </c>
      <c r="D46" s="21" t="str" cm="1">
        <f t="array" ref="D46">IF(ISBLANK($A46),"",_xlfn._xlws.FILTER(Score_Sheet!$AA:$AI,(Score_Sheet!$L:$L=Class_Wise!$B$1)*(Score_Sheet!$A:$A=Class_Wise!$A46),"NA"))</f>
        <v/>
      </c>
      <c r="E46" s="14"/>
      <c r="F46" s="14"/>
      <c r="G46" s="21"/>
      <c r="H46" s="21"/>
      <c r="I46" s="21"/>
      <c r="J46" s="21"/>
      <c r="K46" s="14"/>
      <c r="L46" s="14"/>
      <c r="M46" s="62" t="str" cm="1">
        <f t="array" ref="M46">IF(ISBLANK($A46),"",_xlfn._xlws.FILTER(Score_Sheet!$F:$K,(Score_Sheet!$L:$L=Class_Wise!$B$1)*(Score_Sheet!$A:$A=Class_Wise!$A46),"NA"))</f>
        <v/>
      </c>
      <c r="N46" s="60"/>
      <c r="O46" s="61"/>
      <c r="P46" s="17"/>
      <c r="Q46" s="22"/>
      <c r="R46" s="22"/>
    </row>
    <row r="47" spans="1:18" s="3" customFormat="1" ht="40.25" customHeight="1">
      <c r="A47" s="25"/>
      <c r="B47" s="25"/>
      <c r="C47" s="57" t="str">
        <f t="shared" si="2"/>
        <v/>
      </c>
      <c r="D47" s="21" t="str" cm="1">
        <f t="array" ref="D47">IF(ISBLANK($A47),"",_xlfn._xlws.FILTER(Score_Sheet!$AA:$AI,(Score_Sheet!$L:$L=Class_Wise!$B$1)*(Score_Sheet!$A:$A=Class_Wise!$A47),"NA"))</f>
        <v/>
      </c>
      <c r="E47" s="14"/>
      <c r="F47" s="14"/>
      <c r="G47" s="21"/>
      <c r="H47" s="21"/>
      <c r="I47" s="21"/>
      <c r="J47" s="21"/>
      <c r="K47" s="14"/>
      <c r="L47" s="14"/>
      <c r="M47" s="62" t="str" cm="1">
        <f t="array" ref="M47">IF(ISBLANK($A47),"",_xlfn._xlws.FILTER(Score_Sheet!$F:$K,(Score_Sheet!$L:$L=Class_Wise!$B$1)*(Score_Sheet!$A:$A=Class_Wise!$A47),"NA"))</f>
        <v/>
      </c>
      <c r="N47" s="60"/>
      <c r="O47" s="61"/>
      <c r="P47" s="17"/>
      <c r="Q47" s="22"/>
      <c r="R47" s="22"/>
    </row>
    <row r="48" spans="1:18" ht="40.25" customHeight="1">
      <c r="A48" s="25"/>
      <c r="B48" s="25"/>
      <c r="C48" s="57" t="str">
        <f t="shared" si="2"/>
        <v/>
      </c>
      <c r="D48" s="21" t="str" cm="1">
        <f t="array" ref="D48">IF(ISBLANK($A48),"",_xlfn._xlws.FILTER(Score_Sheet!$AA:$AI,(Score_Sheet!$L:$L=Class_Wise!$B$1)*(Score_Sheet!$A:$A=Class_Wise!$A48),"NA"))</f>
        <v/>
      </c>
      <c r="E48" s="14"/>
      <c r="F48" s="14"/>
      <c r="G48" s="21"/>
      <c r="H48" s="21"/>
      <c r="I48" s="21"/>
      <c r="J48" s="21"/>
      <c r="K48" s="14"/>
      <c r="L48" s="14"/>
      <c r="M48" s="63" t="str" cm="1">
        <f t="array" ref="M48">IF(ISBLANK($A48),"",_xlfn._xlws.FILTER(Score_Sheet!$F:$K,(Score_Sheet!$L:$L=Class_Wise!$B$1)*(Score_Sheet!$A:$A=Class_Wise!$A48),"NA"))</f>
        <v/>
      </c>
      <c r="N48" s="60"/>
      <c r="O48" s="64"/>
      <c r="P48" s="17"/>
      <c r="Q48" s="37"/>
      <c r="R48" s="22"/>
    </row>
    <row r="49" spans="1:28" s="9" customFormat="1" ht="20" customHeight="1">
      <c r="A49" s="25"/>
      <c r="B49" s="25"/>
      <c r="C49" s="57" t="str">
        <f t="shared" si="2"/>
        <v/>
      </c>
      <c r="D49" s="14" t="str" cm="1">
        <f t="array" ref="D49">IF(ISBLANK($A49),"",_xlfn._xlws.FILTER(Score_Sheet!$AA:$AI,(Score_Sheet!$L:$L=Class_Wise!$B$1)*(Score_Sheet!$A:$A=Class_Wise!$A49),"NA"))</f>
        <v/>
      </c>
      <c r="E49" s="14"/>
      <c r="F49" s="14"/>
      <c r="G49" s="14"/>
      <c r="H49" s="14"/>
      <c r="I49" s="14"/>
      <c r="J49" s="14"/>
      <c r="K49" s="14"/>
      <c r="L49" s="14"/>
      <c r="M49" s="11" t="str" cm="1">
        <f t="array" ref="M49">IF(ISBLANK($A49),"",_xlfn._xlws.FILTER(Score_Sheet!$F:$K,(Score_Sheet!$L:$L=Class_Wise!$B$1)*(Score_Sheet!$A:$A=Class_Wise!$A49),"NA"))</f>
        <v/>
      </c>
      <c r="N49" s="11"/>
      <c r="O49" s="11"/>
      <c r="P49" s="11"/>
      <c r="Q49" s="11"/>
      <c r="R49" s="10"/>
      <c r="S49"/>
      <c r="T49"/>
      <c r="U49"/>
      <c r="V49"/>
      <c r="W49"/>
      <c r="X49"/>
      <c r="Y49"/>
      <c r="Z49"/>
      <c r="AA49"/>
      <c r="AB49"/>
    </row>
    <row r="50" spans="1:28" s="9" customFormat="1" ht="20" customHeight="1">
      <c r="A50" s="25"/>
      <c r="B50" s="25"/>
      <c r="C50" s="57" t="str">
        <f t="shared" si="2"/>
        <v/>
      </c>
      <c r="D50" s="14" t="str" cm="1">
        <f t="array" ref="D50">IF(ISBLANK($A50),"",_xlfn._xlws.FILTER(Score_Sheet!$AA:$AI,(Score_Sheet!$L:$L=Class_Wise!$B$1)*(Score_Sheet!$A:$A=Class_Wise!$A50),"NA"))</f>
        <v/>
      </c>
      <c r="E50" s="14"/>
      <c r="F50" s="14"/>
      <c r="G50" s="14"/>
      <c r="H50" s="14"/>
      <c r="I50" s="14"/>
      <c r="J50" s="14"/>
      <c r="K50" s="14"/>
      <c r="L50" s="14"/>
      <c r="M50" s="11" t="str" cm="1">
        <f t="array" ref="M50">IF(ISBLANK($A50),"",_xlfn._xlws.FILTER(Score_Sheet!$F:$K,(Score_Sheet!$L:$L=Class_Wise!$B$1)*(Score_Sheet!$A:$A=Class_Wise!$A50),"NA"))</f>
        <v/>
      </c>
      <c r="N50" s="11"/>
      <c r="O50" s="11"/>
      <c r="P50" s="11"/>
      <c r="Q50" s="11"/>
      <c r="R50" s="10"/>
      <c r="S50"/>
      <c r="T50"/>
      <c r="U50"/>
      <c r="V50"/>
      <c r="W50"/>
      <c r="X50"/>
      <c r="Y50"/>
      <c r="Z50"/>
      <c r="AA50"/>
      <c r="AB50"/>
    </row>
    <row r="51" spans="1:28" s="9" customFormat="1" ht="20" customHeight="1">
      <c r="A51"/>
      <c r="B51"/>
      <c r="C51" s="57" t="str">
        <f t="shared" si="2"/>
        <v/>
      </c>
      <c r="D51" s="14" t="str" cm="1">
        <f t="array" ref="D51">IF(ISBLANK($A51),"",_xlfn._xlws.FILTER(Score_Sheet!$AA:$AI,(Score_Sheet!$L:$L=Class_Wise!$B$1)*(Score_Sheet!$A:$A=Class_Wise!$A51),"NA"))</f>
        <v/>
      </c>
      <c r="E51" s="14"/>
      <c r="F51" s="14"/>
      <c r="G51" s="14"/>
      <c r="H51" s="14"/>
      <c r="I51" s="14"/>
      <c r="J51" s="14"/>
      <c r="K51" s="14"/>
      <c r="L51" s="14"/>
      <c r="M51" s="11" t="str" cm="1">
        <f t="array" ref="M51">IF(ISBLANK($A51),"",_xlfn._xlws.FILTER(Score_Sheet!$F:$K,(Score_Sheet!$L:$L=Class_Wise!$B$1)*(Score_Sheet!$A:$A=Class_Wise!$A51),"NA"))</f>
        <v/>
      </c>
      <c r="N51" s="11"/>
      <c r="O51" s="11"/>
      <c r="P51" s="11"/>
      <c r="Q51" s="11"/>
      <c r="R51" s="10"/>
      <c r="S51"/>
      <c r="T51"/>
      <c r="U51"/>
      <c r="V51"/>
      <c r="W51"/>
      <c r="X51"/>
      <c r="Y51"/>
      <c r="Z51"/>
      <c r="AA51"/>
      <c r="AB51"/>
    </row>
    <row r="52" spans="1:28" s="9" customFormat="1" ht="20" customHeight="1">
      <c r="A52"/>
      <c r="B52"/>
      <c r="C52" s="57" t="str">
        <f t="shared" si="2"/>
        <v/>
      </c>
      <c r="D52" s="14" t="str" cm="1">
        <f t="array" ref="D52">IF(ISBLANK($A52),"",_xlfn._xlws.FILTER(Score_Sheet!$AA:$AI,(Score_Sheet!$L:$L=Class_Wise!$B$1)*(Score_Sheet!$A:$A=Class_Wise!$A52),"NA"))</f>
        <v/>
      </c>
      <c r="E52" s="14"/>
      <c r="F52" s="14"/>
      <c r="G52" s="14"/>
      <c r="H52" s="14"/>
      <c r="I52" s="14"/>
      <c r="J52" s="14"/>
      <c r="K52" s="14"/>
      <c r="L52" s="14"/>
      <c r="M52" s="11" t="str" cm="1">
        <f t="array" ref="M52">IF(ISBLANK($A52),"",_xlfn._xlws.FILTER(Score_Sheet!$F:$K,(Score_Sheet!$L:$L=Class_Wise!$B$1)*(Score_Sheet!$A:$A=Class_Wise!$A52),"NA"))</f>
        <v/>
      </c>
      <c r="N52" s="11"/>
      <c r="O52" s="11"/>
      <c r="P52" s="11"/>
      <c r="Q52" s="11"/>
      <c r="R52" s="10"/>
      <c r="S52"/>
      <c r="T52"/>
      <c r="U52"/>
      <c r="V52"/>
      <c r="W52"/>
      <c r="X52"/>
      <c r="Y52"/>
      <c r="Z52"/>
      <c r="AA52"/>
      <c r="AB52"/>
    </row>
    <row r="53" spans="1:28" s="9" customFormat="1" ht="20" customHeight="1">
      <c r="A53"/>
      <c r="B53"/>
      <c r="C53" s="57" t="str">
        <f t="shared" si="2"/>
        <v/>
      </c>
      <c r="D53" s="14" t="str" cm="1">
        <f t="array" ref="D53">IF(ISBLANK($A53),"",_xlfn._xlws.FILTER(Score_Sheet!$AA:$AI,(Score_Sheet!$L:$L=Class_Wise!$B$1)*(Score_Sheet!$A:$A=Class_Wise!$A53),"NA"))</f>
        <v/>
      </c>
      <c r="E53" s="14"/>
      <c r="F53" s="14"/>
      <c r="G53" s="14"/>
      <c r="H53" s="14"/>
      <c r="I53" s="14"/>
      <c r="J53" s="14"/>
      <c r="K53" s="14"/>
      <c r="L53" s="14"/>
      <c r="M53" s="11" t="str" cm="1">
        <f t="array" ref="M53">IF(ISBLANK($A53),"",_xlfn._xlws.FILTER(Score_Sheet!$F:$K,(Score_Sheet!$L:$L=Class_Wise!$B$1)*(Score_Sheet!$A:$A=Class_Wise!$A53),"NA"))</f>
        <v/>
      </c>
      <c r="N53" s="11"/>
      <c r="O53" s="11"/>
      <c r="P53" s="11"/>
      <c r="Q53" s="11"/>
      <c r="R53" s="10"/>
      <c r="S53"/>
      <c r="T53"/>
      <c r="U53"/>
      <c r="V53"/>
      <c r="W53"/>
      <c r="X53"/>
      <c r="Y53"/>
      <c r="Z53"/>
      <c r="AA53"/>
      <c r="AB53"/>
    </row>
    <row r="54" spans="1:28" s="9" customFormat="1" ht="20" customHeight="1">
      <c r="A54"/>
      <c r="B54"/>
      <c r="C54" s="57" t="str">
        <f t="shared" si="2"/>
        <v/>
      </c>
      <c r="D54" s="14" t="str" cm="1">
        <f t="array" ref="D54">IF(ISBLANK($A54),"",_xlfn._xlws.FILTER(Score_Sheet!$AA:$AI,(Score_Sheet!$L:$L=Class_Wise!$B$1)*(Score_Sheet!$A:$A=Class_Wise!$A54),"NA"))</f>
        <v/>
      </c>
      <c r="E54" s="14"/>
      <c r="F54" s="14"/>
      <c r="G54" s="14"/>
      <c r="H54" s="14"/>
      <c r="I54" s="14"/>
      <c r="J54" s="14"/>
      <c r="K54" s="14"/>
      <c r="L54" s="14"/>
      <c r="M54" s="11" t="str" cm="1">
        <f t="array" ref="M54">IF(ISBLANK($A54),"",_xlfn._xlws.FILTER(Score_Sheet!$F:$K,(Score_Sheet!$L:$L=Class_Wise!$B$1)*(Score_Sheet!$A:$A=Class_Wise!$A54),"NA"))</f>
        <v/>
      </c>
      <c r="N54" s="11"/>
      <c r="O54" s="11"/>
      <c r="P54" s="11"/>
      <c r="Q54" s="11"/>
      <c r="R54" s="10"/>
      <c r="S54"/>
      <c r="T54"/>
      <c r="U54"/>
      <c r="V54"/>
      <c r="W54"/>
      <c r="X54"/>
      <c r="Y54"/>
      <c r="Z54"/>
      <c r="AA54"/>
      <c r="AB54"/>
    </row>
    <row r="55" spans="1:28" s="9" customFormat="1" ht="20" customHeight="1">
      <c r="A55"/>
      <c r="B55"/>
      <c r="C55" s="57" t="str">
        <f t="shared" si="2"/>
        <v/>
      </c>
      <c r="D55" s="14" t="str" cm="1">
        <f t="array" ref="D55">IF(ISBLANK($A55),"",_xlfn._xlws.FILTER(Score_Sheet!$AA:$AI,(Score_Sheet!$L:$L=Class_Wise!$B$1)*(Score_Sheet!$A:$A=Class_Wise!$A55),"NA"))</f>
        <v/>
      </c>
      <c r="E55" s="14"/>
      <c r="F55" s="14"/>
      <c r="G55" s="14"/>
      <c r="H55" s="14"/>
      <c r="I55" s="14"/>
      <c r="J55" s="14"/>
      <c r="K55" s="14"/>
      <c r="L55" s="14"/>
      <c r="M55" s="11" t="str" cm="1">
        <f t="array" ref="M55">IF(ISBLANK($A55),"",_xlfn._xlws.FILTER(Score_Sheet!$F:$K,(Score_Sheet!$L:$L=Class_Wise!$B$1)*(Score_Sheet!$A:$A=Class_Wise!$A55),"NA"))</f>
        <v/>
      </c>
      <c r="N55" s="11"/>
      <c r="O55" s="11"/>
      <c r="P55" s="11"/>
      <c r="Q55" s="11"/>
      <c r="R55" s="10"/>
      <c r="S55"/>
      <c r="T55"/>
      <c r="U55"/>
      <c r="V55"/>
      <c r="W55"/>
      <c r="X55"/>
      <c r="Y55"/>
      <c r="Z55"/>
      <c r="AA55"/>
      <c r="AB55"/>
    </row>
    <row r="56" spans="1:28" s="9" customFormat="1" ht="20" customHeight="1">
      <c r="A56"/>
      <c r="B56"/>
      <c r="C56" s="57" t="str">
        <f t="shared" si="2"/>
        <v/>
      </c>
      <c r="D56" s="14" t="str" cm="1">
        <f t="array" ref="D56">IF(ISBLANK($A56),"",_xlfn._xlws.FILTER(Score_Sheet!$AA:$AI,(Score_Sheet!$L:$L=Class_Wise!$B$1)*(Score_Sheet!$A:$A=Class_Wise!$A56),"NA"))</f>
        <v/>
      </c>
      <c r="E56" s="14"/>
      <c r="F56" s="14"/>
      <c r="G56" s="14"/>
      <c r="H56" s="14"/>
      <c r="I56" s="14"/>
      <c r="J56" s="14"/>
      <c r="K56" s="14"/>
      <c r="L56" s="14"/>
      <c r="M56" s="11" t="str" cm="1">
        <f t="array" ref="M56">IF(ISBLANK($A56),"",_xlfn._xlws.FILTER(Score_Sheet!$F:$K,(Score_Sheet!$L:$L=Class_Wise!$B$1)*(Score_Sheet!$A:$A=Class_Wise!$A56),"NA"))</f>
        <v/>
      </c>
      <c r="N56" s="11"/>
      <c r="O56" s="11"/>
      <c r="P56" s="11"/>
      <c r="Q56" s="11"/>
      <c r="R56" s="10"/>
      <c r="S56"/>
      <c r="T56"/>
      <c r="U56"/>
      <c r="V56"/>
      <c r="W56"/>
      <c r="X56"/>
      <c r="Y56"/>
      <c r="Z56"/>
      <c r="AA56"/>
      <c r="AB56"/>
    </row>
    <row r="57" spans="1:28" s="9" customFormat="1" ht="20" customHeight="1">
      <c r="A57"/>
      <c r="B57"/>
      <c r="C57" s="57" t="str">
        <f t="shared" si="2"/>
        <v/>
      </c>
      <c r="D57" s="14" t="str" cm="1">
        <f t="array" ref="D57">IF(ISBLANK($A57),"",_xlfn._xlws.FILTER(Score_Sheet!$AA:$AI,(Score_Sheet!$L:$L=Class_Wise!$B$1)*(Score_Sheet!$A:$A=Class_Wise!$A57),"NA"))</f>
        <v/>
      </c>
      <c r="E57" s="14"/>
      <c r="F57" s="14"/>
      <c r="G57" s="14"/>
      <c r="H57" s="14"/>
      <c r="I57" s="14"/>
      <c r="J57" s="14"/>
      <c r="K57" s="14"/>
      <c r="L57" s="14"/>
      <c r="M57" s="11" t="str" cm="1">
        <f t="array" ref="M57">IF(ISBLANK($A57),"",_xlfn._xlws.FILTER(Score_Sheet!$F:$K,(Score_Sheet!$L:$L=Class_Wise!$B$1)*(Score_Sheet!$A:$A=Class_Wise!$A57),"NA"))</f>
        <v/>
      </c>
      <c r="N57" s="11"/>
      <c r="O57" s="11"/>
      <c r="P57" s="11"/>
      <c r="Q57" s="11"/>
      <c r="R57" s="10"/>
      <c r="S57"/>
      <c r="T57"/>
      <c r="U57"/>
      <c r="V57"/>
      <c r="W57"/>
      <c r="X57"/>
      <c r="Y57"/>
      <c r="Z57"/>
      <c r="AA57"/>
      <c r="AB57"/>
    </row>
    <row r="58" spans="1:28" s="9" customFormat="1" ht="20" customHeight="1">
      <c r="A58"/>
      <c r="B58"/>
      <c r="C58" s="57" t="str">
        <f t="shared" si="2"/>
        <v/>
      </c>
      <c r="D58" s="14" t="str" cm="1">
        <f t="array" ref="D58">IF(ISBLANK($A58),"",_xlfn._xlws.FILTER(Score_Sheet!$AA:$AI,(Score_Sheet!$L:$L=Class_Wise!$B$1)*(Score_Sheet!$A:$A=Class_Wise!$A58),"NA"))</f>
        <v/>
      </c>
      <c r="E58" s="14"/>
      <c r="F58" s="14"/>
      <c r="G58" s="14"/>
      <c r="H58" s="14"/>
      <c r="I58" s="14"/>
      <c r="J58" s="14"/>
      <c r="K58" s="14"/>
      <c r="L58" s="14"/>
      <c r="M58" s="11" t="str" cm="1">
        <f t="array" ref="M58">IF(ISBLANK($A58),"",_xlfn._xlws.FILTER(Score_Sheet!$F:$K,(Score_Sheet!$L:$L=Class_Wise!$B$1)*(Score_Sheet!$A:$A=Class_Wise!$A58),"NA"))</f>
        <v/>
      </c>
      <c r="N58" s="11"/>
      <c r="O58" s="11"/>
      <c r="P58" s="11"/>
      <c r="Q58" s="11"/>
      <c r="R58" s="10"/>
      <c r="S58"/>
      <c r="T58"/>
      <c r="U58"/>
      <c r="V58"/>
      <c r="W58"/>
      <c r="X58"/>
      <c r="Y58"/>
      <c r="Z58"/>
      <c r="AA58"/>
      <c r="AB58"/>
    </row>
    <row r="59" spans="1:28" s="9" customFormat="1" ht="20" customHeight="1">
      <c r="A59"/>
      <c r="B59"/>
      <c r="C59"/>
      <c r="D59" s="14" t="str" cm="1">
        <f t="array" ref="D59">IF(ISBLANK($A59),"",_xlfn._xlws.FILTER(Score_Sheet!$AA:$AI,(Score_Sheet!$L:$L=Class_Wise!$B$1)*(Score_Sheet!$A:$A=Class_Wise!$A59),"NA"))</f>
        <v/>
      </c>
      <c r="E59" s="14"/>
      <c r="F59" s="14"/>
      <c r="G59" s="14"/>
      <c r="H59" s="14"/>
      <c r="I59" s="14"/>
      <c r="J59" s="14"/>
      <c r="K59" s="14"/>
      <c r="L59" s="14"/>
      <c r="M59" s="11" t="str" cm="1">
        <f t="array" ref="M59">IF(ISBLANK($A59),"",_xlfn._xlws.FILTER(Score_Sheet!$F:$K,(Score_Sheet!$L:$L=Class_Wise!$B$1)*(Score_Sheet!$A:$A=Class_Wise!$A59),"NA"))</f>
        <v/>
      </c>
      <c r="N59" s="11"/>
      <c r="O59" s="11"/>
      <c r="P59" s="11"/>
      <c r="Q59" s="11"/>
      <c r="R59" s="10"/>
      <c r="S59"/>
      <c r="T59"/>
      <c r="U59"/>
      <c r="V59"/>
      <c r="W59"/>
      <c r="X59"/>
      <c r="Y59"/>
      <c r="Z59"/>
      <c r="AA59"/>
      <c r="AB59"/>
    </row>
    <row r="60" spans="1:28" s="9" customFormat="1" ht="20" customHeight="1">
      <c r="A60"/>
      <c r="B60"/>
      <c r="C60"/>
      <c r="D60" s="14" t="str" cm="1">
        <f t="array" ref="D60">IF(ISBLANK($A60),"",_xlfn._xlws.FILTER(Score_Sheet!$AA:$AI,(Score_Sheet!$L:$L=Class_Wise!$B$1)*(Score_Sheet!$A:$A=Class_Wise!$A60),"NA"))</f>
        <v/>
      </c>
      <c r="E60" s="14"/>
      <c r="F60" s="14"/>
      <c r="G60" s="14"/>
      <c r="H60" s="14"/>
      <c r="I60" s="14"/>
      <c r="J60" s="14"/>
      <c r="K60" s="14"/>
      <c r="L60" s="14"/>
      <c r="M60" s="11" t="str" cm="1">
        <f t="array" ref="M60">IF(ISBLANK($A60),"",_xlfn._xlws.FILTER(Score_Sheet!$F:$K,(Score_Sheet!$L:$L=Class_Wise!$B$1)*(Score_Sheet!$A:$A=Class_Wise!$A60),"NA"))</f>
        <v/>
      </c>
      <c r="N60" s="11"/>
      <c r="O60" s="11"/>
      <c r="P60" s="11"/>
      <c r="Q60" s="11"/>
      <c r="R60" s="10"/>
      <c r="S60"/>
      <c r="T60"/>
      <c r="U60"/>
      <c r="V60"/>
      <c r="W60"/>
      <c r="X60"/>
      <c r="Y60"/>
      <c r="Z60"/>
      <c r="AA60"/>
      <c r="AB60"/>
    </row>
    <row r="61" spans="1:28" s="9" customFormat="1" ht="20" customHeight="1">
      <c r="A61"/>
      <c r="B61"/>
      <c r="C61"/>
      <c r="D61" s="14" t="str" cm="1">
        <f t="array" ref="D61">IF(ISBLANK($A61),"",_xlfn._xlws.FILTER(Score_Sheet!$AA:$AI,(Score_Sheet!$L:$L=Class_Wise!$B$1)*(Score_Sheet!$A:$A=Class_Wise!$A61),"NA"))</f>
        <v/>
      </c>
      <c r="E61" s="14"/>
      <c r="F61" s="14"/>
      <c r="G61" s="14"/>
      <c r="H61" s="14"/>
      <c r="I61" s="14"/>
      <c r="J61" s="14"/>
      <c r="K61" s="14"/>
      <c r="L61" s="14"/>
      <c r="M61" s="11" t="str" cm="1">
        <f t="array" ref="M61">IF(ISBLANK($A61),"",_xlfn._xlws.FILTER(Score_Sheet!$F:$K,(Score_Sheet!$L:$L=Class_Wise!$B$1)*(Score_Sheet!$A:$A=Class_Wise!$A61),"NA"))</f>
        <v/>
      </c>
      <c r="N61" s="11"/>
      <c r="O61" s="11"/>
      <c r="P61" s="11"/>
      <c r="Q61" s="11"/>
      <c r="R61" s="10"/>
      <c r="S61"/>
      <c r="T61"/>
      <c r="U61"/>
      <c r="V61"/>
      <c r="W61"/>
      <c r="X61"/>
      <c r="Y61"/>
      <c r="Z61"/>
      <c r="AA61"/>
      <c r="AB61"/>
    </row>
    <row r="62" spans="1:28" s="9" customFormat="1" ht="20" customHeight="1">
      <c r="A62"/>
      <c r="B62"/>
      <c r="C62"/>
      <c r="D62" s="14" t="str" cm="1">
        <f t="array" ref="D62">IF(ISBLANK($A62),"",_xlfn._xlws.FILTER(Score_Sheet!$AA:$AI,(Score_Sheet!$L:$L=Class_Wise!$B$1)*(Score_Sheet!$A:$A=Class_Wise!$A62),"NA"))</f>
        <v/>
      </c>
      <c r="E62" s="14"/>
      <c r="F62" s="14"/>
      <c r="G62" s="14"/>
      <c r="H62" s="14"/>
      <c r="I62" s="14"/>
      <c r="J62" s="14"/>
      <c r="K62" s="14"/>
      <c r="L62" s="14"/>
      <c r="M62" s="11" t="str" cm="1">
        <f t="array" ref="M62">IF(ISBLANK($A62),"",_xlfn._xlws.FILTER(Score_Sheet!$F:$K,(Score_Sheet!$L:$L=Class_Wise!$B$1)*(Score_Sheet!$A:$A=Class_Wise!$A62),"NA"))</f>
        <v/>
      </c>
      <c r="N62" s="11"/>
      <c r="O62" s="11"/>
      <c r="P62" s="11"/>
      <c r="Q62" s="11"/>
      <c r="R62" s="10"/>
      <c r="S62"/>
      <c r="T62"/>
      <c r="U62"/>
      <c r="V62"/>
      <c r="W62"/>
      <c r="X62"/>
      <c r="Y62"/>
      <c r="Z62"/>
      <c r="AA62"/>
      <c r="AB62"/>
    </row>
    <row r="63" spans="1:28" s="9" customFormat="1" ht="20" customHeight="1">
      <c r="A63"/>
      <c r="B63"/>
      <c r="C63"/>
      <c r="D63" s="14" t="str" cm="1">
        <f t="array" ref="D63">IF(ISBLANK($A63),"",_xlfn._xlws.FILTER(Score_Sheet!$AA:$AI,(Score_Sheet!$L:$L=Class_Wise!$B$1)*(Score_Sheet!$A:$A=Class_Wise!$A63),"NA"))</f>
        <v/>
      </c>
      <c r="E63" s="14"/>
      <c r="F63" s="14"/>
      <c r="G63" s="14"/>
      <c r="H63" s="14"/>
      <c r="I63" s="14"/>
      <c r="J63" s="14"/>
      <c r="K63" s="14"/>
      <c r="L63" s="14"/>
      <c r="M63" s="11" t="str" cm="1">
        <f t="array" ref="M63">IF(ISBLANK($A63),"",_xlfn._xlws.FILTER(Score_Sheet!$F:$K,(Score_Sheet!$L:$L=Class_Wise!$B$1)*(Score_Sheet!$A:$A=Class_Wise!$A63),"NA"))</f>
        <v/>
      </c>
      <c r="N63" s="11"/>
      <c r="O63" s="11"/>
      <c r="P63" s="11"/>
      <c r="Q63" s="11"/>
      <c r="R63" s="10"/>
      <c r="S63"/>
      <c r="T63"/>
      <c r="U63"/>
      <c r="V63"/>
      <c r="W63"/>
      <c r="X63"/>
      <c r="Y63"/>
      <c r="Z63"/>
      <c r="AA63"/>
      <c r="AB63"/>
    </row>
    <row r="64" spans="1:28" s="9" customFormat="1" ht="20" customHeight="1">
      <c r="A64"/>
      <c r="B64"/>
      <c r="C64"/>
      <c r="D64" s="14" t="str" cm="1">
        <f t="array" ref="D64">IF(ISBLANK($A64),"",_xlfn._xlws.FILTER(Score_Sheet!$AA:$AI,(Score_Sheet!$L:$L=Class_Wise!$B$1)*(Score_Sheet!$A:$A=Class_Wise!$A64),"NA"))</f>
        <v/>
      </c>
      <c r="E64" s="14"/>
      <c r="F64" s="14"/>
      <c r="G64" s="14"/>
      <c r="H64" s="14"/>
      <c r="I64" s="14"/>
      <c r="J64" s="14"/>
      <c r="K64" s="14"/>
      <c r="L64" s="14"/>
      <c r="M64" s="11" t="str" cm="1">
        <f t="array" ref="M64">IF(ISBLANK($A64),"",_xlfn._xlws.FILTER(Score_Sheet!$F:$K,(Score_Sheet!$L:$L=Class_Wise!$B$1)*(Score_Sheet!$A:$A=Class_Wise!$A64),"NA"))</f>
        <v/>
      </c>
      <c r="N64" s="11"/>
      <c r="O64" s="11"/>
      <c r="P64" s="11"/>
      <c r="Q64" s="11"/>
      <c r="R64" s="10"/>
      <c r="S64"/>
      <c r="T64"/>
      <c r="U64"/>
      <c r="V64"/>
      <c r="W64"/>
      <c r="X64"/>
      <c r="Y64"/>
      <c r="Z64"/>
      <c r="AA64"/>
      <c r="AB64"/>
    </row>
    <row r="65" spans="1:28" s="9" customFormat="1" ht="20" customHeight="1">
      <c r="A65"/>
      <c r="B65"/>
      <c r="C65"/>
      <c r="D65" s="14" t="str" cm="1">
        <f t="array" ref="D65">IF(ISBLANK($A65),"",_xlfn._xlws.FILTER(Score_Sheet!$AA:$AI,(Score_Sheet!$L:$L=Class_Wise!$B$1)*(Score_Sheet!$A:$A=Class_Wise!$A65),"NA"))</f>
        <v/>
      </c>
      <c r="E65" s="14"/>
      <c r="F65" s="14"/>
      <c r="G65" s="14"/>
      <c r="H65" s="14"/>
      <c r="I65" s="14"/>
      <c r="J65" s="14"/>
      <c r="K65" s="14"/>
      <c r="L65" s="14"/>
      <c r="M65" s="11" t="str" cm="1">
        <f t="array" ref="M65">IF(ISBLANK($A65),"",_xlfn._xlws.FILTER(Score_Sheet!$F:$K,(Score_Sheet!$L:$L=Class_Wise!$B$1)*(Score_Sheet!$A:$A=Class_Wise!$A65),"NA"))</f>
        <v/>
      </c>
      <c r="N65" s="11"/>
      <c r="O65" s="11"/>
      <c r="P65" s="11"/>
      <c r="Q65" s="11"/>
      <c r="R65" s="10"/>
      <c r="S65"/>
      <c r="T65"/>
      <c r="U65"/>
      <c r="V65"/>
      <c r="W65"/>
      <c r="X65"/>
      <c r="Y65"/>
      <c r="Z65"/>
      <c r="AA65"/>
      <c r="AB65"/>
    </row>
    <row r="66" spans="1:28" s="9" customFormat="1" ht="20" customHeight="1">
      <c r="A66"/>
      <c r="B66"/>
      <c r="C66"/>
      <c r="D66" s="14" t="str" cm="1">
        <f t="array" ref="D66">IF(ISBLANK($A66),"",_xlfn._xlws.FILTER(Score_Sheet!$AA:$AI,(Score_Sheet!$L:$L=Class_Wise!$B$1)*(Score_Sheet!$A:$A=Class_Wise!$A66),"NA"))</f>
        <v/>
      </c>
      <c r="E66" s="14"/>
      <c r="F66" s="14"/>
      <c r="G66" s="14"/>
      <c r="H66" s="14"/>
      <c r="I66" s="14"/>
      <c r="J66" s="14"/>
      <c r="K66" s="14"/>
      <c r="L66" s="14"/>
      <c r="M66" s="11" t="str" cm="1">
        <f t="array" ref="M66">IF(ISBLANK($A66),"",_xlfn._xlws.FILTER(Score_Sheet!$F:$K,(Score_Sheet!$L:$L=Class_Wise!$B$1)*(Score_Sheet!$A:$A=Class_Wise!$A66),"NA"))</f>
        <v/>
      </c>
      <c r="N66" s="11"/>
      <c r="O66" s="11"/>
      <c r="P66" s="11"/>
      <c r="Q66" s="11"/>
      <c r="R66" s="10"/>
      <c r="S66"/>
      <c r="T66"/>
      <c r="U66"/>
      <c r="V66"/>
      <c r="W66"/>
      <c r="X66"/>
      <c r="Y66"/>
      <c r="Z66"/>
      <c r="AA66"/>
      <c r="AB66"/>
    </row>
    <row r="67" spans="1:28" s="9" customFormat="1" ht="20" customHeight="1">
      <c r="A67"/>
      <c r="B67"/>
      <c r="C67"/>
      <c r="D67" s="14" t="str" cm="1">
        <f t="array" ref="D67">IF(ISBLANK($A67),"",_xlfn._xlws.FILTER(Score_Sheet!$AA:$AI,(Score_Sheet!$L:$L=Class_Wise!$B$1)*(Score_Sheet!$A:$A=Class_Wise!$A67),"NA"))</f>
        <v/>
      </c>
      <c r="E67" s="14"/>
      <c r="F67" s="14"/>
      <c r="G67" s="14"/>
      <c r="H67" s="14"/>
      <c r="I67" s="14"/>
      <c r="J67" s="14"/>
      <c r="K67" s="14"/>
      <c r="L67" s="14"/>
      <c r="M67" s="11" t="str" cm="1">
        <f t="array" ref="M67">IF(ISBLANK($A67),"",_xlfn._xlws.FILTER(Score_Sheet!$F:$K,(Score_Sheet!$L:$L=Class_Wise!$B$1)*(Score_Sheet!$A:$A=Class_Wise!$A67),"NA"))</f>
        <v/>
      </c>
      <c r="N67" s="11"/>
      <c r="O67" s="11"/>
      <c r="P67" s="11"/>
      <c r="Q67" s="11"/>
      <c r="R67" s="10"/>
      <c r="S67"/>
      <c r="T67"/>
      <c r="U67"/>
      <c r="V67"/>
      <c r="W67"/>
      <c r="X67"/>
      <c r="Y67"/>
      <c r="Z67"/>
      <c r="AA67"/>
      <c r="AB67"/>
    </row>
    <row r="68" spans="1:28" s="9" customFormat="1" ht="20" customHeight="1">
      <c r="A68"/>
      <c r="B68"/>
      <c r="C68"/>
      <c r="D68" s="14" t="str" cm="1">
        <f t="array" ref="D68">IF(ISBLANK($A68),"",_xlfn._xlws.FILTER(Score_Sheet!$AA:$AI,(Score_Sheet!$L:$L=Class_Wise!$B$1)*(Score_Sheet!$A:$A=Class_Wise!$A68),"NA"))</f>
        <v/>
      </c>
      <c r="E68" s="14"/>
      <c r="F68" s="14"/>
      <c r="G68" s="14"/>
      <c r="H68" s="14"/>
      <c r="I68" s="14"/>
      <c r="J68" s="14"/>
      <c r="K68" s="14"/>
      <c r="L68" s="14"/>
      <c r="M68" s="11" t="str" cm="1">
        <f t="array" ref="M68">IF(ISBLANK($A68),"",_xlfn._xlws.FILTER(Score_Sheet!$F:$K,(Score_Sheet!$L:$L=Class_Wise!$B$1)*(Score_Sheet!$A:$A=Class_Wise!$A68),"NA"))</f>
        <v/>
      </c>
      <c r="N68" s="11"/>
      <c r="O68" s="11"/>
      <c r="P68" s="11"/>
      <c r="Q68" s="11"/>
      <c r="R68" s="10"/>
      <c r="S68"/>
      <c r="T68"/>
      <c r="U68"/>
      <c r="V68"/>
      <c r="W68"/>
      <c r="X68"/>
      <c r="Y68"/>
      <c r="Z68"/>
      <c r="AA68"/>
      <c r="AB68"/>
    </row>
    <row r="69" spans="1:28" s="9" customFormat="1" ht="20" customHeight="1">
      <c r="A69"/>
      <c r="B69"/>
      <c r="C69"/>
      <c r="D69" s="14" t="str" cm="1">
        <f t="array" ref="D69">IF(ISBLANK($A69),"",_xlfn._xlws.FILTER(Score_Sheet!$AA:$AI,(Score_Sheet!$L:$L=Class_Wise!$B$1)*(Score_Sheet!$A:$A=Class_Wise!$A69),"NA"))</f>
        <v/>
      </c>
      <c r="E69" s="14"/>
      <c r="F69" s="14"/>
      <c r="G69" s="14"/>
      <c r="H69" s="14"/>
      <c r="I69" s="14"/>
      <c r="J69" s="14"/>
      <c r="K69" s="14"/>
      <c r="L69" s="14"/>
      <c r="M69" s="11" t="str" cm="1">
        <f t="array" ref="M69">IF(ISBLANK($A69),"",_xlfn._xlws.FILTER(Score_Sheet!$F:$K,(Score_Sheet!$L:$L=Class_Wise!$B$1)*(Score_Sheet!$A:$A=Class_Wise!$A69),"NA"))</f>
        <v/>
      </c>
      <c r="N69" s="11"/>
      <c r="O69" s="11"/>
      <c r="P69" s="11"/>
      <c r="Q69" s="11"/>
      <c r="R69" s="10"/>
      <c r="S69"/>
      <c r="T69"/>
      <c r="U69"/>
      <c r="V69"/>
      <c r="W69"/>
      <c r="X69"/>
      <c r="Y69"/>
      <c r="Z69"/>
      <c r="AA69"/>
      <c r="AB69"/>
    </row>
    <row r="70" spans="1:28" s="9" customFormat="1" ht="20" customHeight="1">
      <c r="A70"/>
      <c r="B70"/>
      <c r="C70"/>
      <c r="D70" s="14" t="str" cm="1">
        <f t="array" ref="D70">IF(ISBLANK($A70),"",_xlfn._xlws.FILTER(Score_Sheet!$AA:$AI,(Score_Sheet!$L:$L=Class_Wise!$B$1)*(Score_Sheet!$A:$A=Class_Wise!$A70),"NA"))</f>
        <v/>
      </c>
      <c r="E70" s="14"/>
      <c r="F70" s="14"/>
      <c r="G70" s="14"/>
      <c r="H70" s="14"/>
      <c r="I70" s="14"/>
      <c r="J70" s="14"/>
      <c r="K70" s="14"/>
      <c r="L70" s="14"/>
      <c r="M70" s="11" t="str" cm="1">
        <f t="array" ref="M70">IF(ISBLANK($A70),"",_xlfn._xlws.FILTER(Score_Sheet!$F:$K,(Score_Sheet!$L:$L=Class_Wise!$B$1)*(Score_Sheet!$A:$A=Class_Wise!$A70),"NA"))</f>
        <v/>
      </c>
      <c r="N70" s="11"/>
      <c r="O70" s="11"/>
      <c r="P70" s="11"/>
      <c r="Q70" s="11"/>
      <c r="R70" s="10"/>
      <c r="S70"/>
      <c r="T70"/>
      <c r="U70"/>
      <c r="V70"/>
      <c r="W70"/>
      <c r="X70"/>
      <c r="Y70"/>
      <c r="Z70"/>
      <c r="AA70"/>
      <c r="AB70"/>
    </row>
    <row r="71" spans="1:28" s="9" customFormat="1" ht="20" customHeight="1">
      <c r="A71"/>
      <c r="B71"/>
      <c r="C71"/>
      <c r="D71" s="14" t="str" cm="1">
        <f t="array" ref="D71">IF(ISBLANK($A71),"",_xlfn._xlws.FILTER(Score_Sheet!$AA:$AI,(Score_Sheet!$L:$L=Class_Wise!$B$1)*(Score_Sheet!$A:$A=Class_Wise!$A71),"NA"))</f>
        <v/>
      </c>
      <c r="E71" s="14"/>
      <c r="F71" s="14"/>
      <c r="G71" s="14"/>
      <c r="H71" s="14"/>
      <c r="I71" s="14"/>
      <c r="J71" s="14"/>
      <c r="K71" s="14"/>
      <c r="L71" s="14"/>
      <c r="M71" s="11" t="str" cm="1">
        <f t="array" ref="M71">IF(ISBLANK($A71),"",_xlfn._xlws.FILTER(Score_Sheet!$F:$K,(Score_Sheet!$L:$L=Class_Wise!$B$1)*(Score_Sheet!$A:$A=Class_Wise!$A71),"NA"))</f>
        <v/>
      </c>
      <c r="N71" s="11"/>
      <c r="O71" s="11"/>
      <c r="P71" s="11"/>
      <c r="Q71" s="11"/>
      <c r="R71" s="10"/>
      <c r="S71"/>
      <c r="T71"/>
      <c r="U71"/>
      <c r="V71"/>
      <c r="W71"/>
      <c r="X71"/>
      <c r="Y71"/>
      <c r="Z71"/>
      <c r="AA71"/>
      <c r="AB71"/>
    </row>
    <row r="72" spans="1:28" s="9" customFormat="1" ht="20" customHeight="1">
      <c r="A72"/>
      <c r="B72"/>
      <c r="C72"/>
      <c r="D72" s="14" t="str" cm="1">
        <f t="array" ref="D72">IF(ISBLANK($A72),"",_xlfn._xlws.FILTER(Score_Sheet!$AA:$AI,(Score_Sheet!$L:$L=Class_Wise!$B$1)*(Score_Sheet!$A:$A=Class_Wise!$A72),"NA"))</f>
        <v/>
      </c>
      <c r="E72" s="14"/>
      <c r="F72" s="14"/>
      <c r="G72" s="14"/>
      <c r="H72" s="14"/>
      <c r="I72" s="14"/>
      <c r="J72" s="14"/>
      <c r="K72" s="14"/>
      <c r="L72" s="14"/>
      <c r="M72" s="11" t="str" cm="1">
        <f t="array" ref="M72">IF(ISBLANK($A72),"",_xlfn._xlws.FILTER(Score_Sheet!$F:$K,(Score_Sheet!$L:$L=Class_Wise!$B$1)*(Score_Sheet!$A:$A=Class_Wise!$A72),"NA"))</f>
        <v/>
      </c>
      <c r="N72" s="11"/>
      <c r="O72" s="11"/>
      <c r="P72" s="11"/>
      <c r="Q72" s="11"/>
      <c r="R72" s="10"/>
      <c r="S72"/>
      <c r="T72"/>
      <c r="U72"/>
      <c r="V72"/>
      <c r="W72"/>
      <c r="X72"/>
      <c r="Y72"/>
      <c r="Z72"/>
      <c r="AA72"/>
      <c r="AB72"/>
    </row>
    <row r="73" spans="1:28" s="9" customFormat="1" ht="20" customHeight="1">
      <c r="A73"/>
      <c r="B73"/>
      <c r="C73"/>
      <c r="D73" s="14" t="str" cm="1">
        <f t="array" ref="D73">IF(ISBLANK($A73),"",_xlfn._xlws.FILTER(Score_Sheet!$AA:$AI,(Score_Sheet!$L:$L=Class_Wise!$B$1)*(Score_Sheet!$A:$A=Class_Wise!$A73),"NA"))</f>
        <v/>
      </c>
      <c r="E73" s="14"/>
      <c r="F73" s="14"/>
      <c r="G73" s="14"/>
      <c r="H73" s="14"/>
      <c r="I73" s="14"/>
      <c r="J73" s="14"/>
      <c r="K73" s="14"/>
      <c r="L73" s="14"/>
      <c r="M73" s="11" t="str" cm="1">
        <f t="array" ref="M73">IF(ISBLANK($A73),"",_xlfn._xlws.FILTER(Score_Sheet!$F:$K,(Score_Sheet!$L:$L=Class_Wise!$B$1)*(Score_Sheet!$A:$A=Class_Wise!$A73),"NA"))</f>
        <v/>
      </c>
      <c r="N73" s="11"/>
      <c r="O73" s="11"/>
      <c r="P73" s="11"/>
      <c r="Q73" s="11"/>
      <c r="R73" s="10"/>
      <c r="S73"/>
      <c r="T73"/>
      <c r="U73"/>
      <c r="V73"/>
      <c r="W73"/>
      <c r="X73"/>
      <c r="Y73"/>
      <c r="Z73"/>
      <c r="AA73"/>
      <c r="AB73"/>
    </row>
    <row r="74" spans="1:28" s="9" customFormat="1" ht="20" customHeight="1">
      <c r="A74"/>
      <c r="B74"/>
      <c r="C74"/>
      <c r="D74" s="14" t="str" cm="1">
        <f t="array" ref="D74">IF(ISBLANK($A74),"",_xlfn._xlws.FILTER(Score_Sheet!$AA:$AI,(Score_Sheet!$L:$L=Class_Wise!$B$1)*(Score_Sheet!$A:$A=Class_Wise!$A74),"NA"))</f>
        <v/>
      </c>
      <c r="E74" s="14"/>
      <c r="F74" s="14"/>
      <c r="G74" s="14"/>
      <c r="H74" s="14"/>
      <c r="I74" s="14"/>
      <c r="J74" s="14"/>
      <c r="K74" s="14"/>
      <c r="L74" s="14"/>
      <c r="M74" s="11" t="str" cm="1">
        <f t="array" ref="M74">IF(ISBLANK($A74),"",_xlfn._xlws.FILTER(Score_Sheet!$F:$K,(Score_Sheet!$L:$L=Class_Wise!$B$1)*(Score_Sheet!$A:$A=Class_Wise!$A74),"NA"))</f>
        <v/>
      </c>
      <c r="N74" s="11"/>
      <c r="O74" s="11"/>
      <c r="P74" s="11"/>
      <c r="Q74" s="11"/>
      <c r="R74" s="10"/>
      <c r="S74"/>
      <c r="T74"/>
      <c r="U74"/>
      <c r="V74"/>
      <c r="W74"/>
      <c r="X74"/>
      <c r="Y74"/>
      <c r="Z74"/>
      <c r="AA74"/>
      <c r="AB74"/>
    </row>
    <row r="75" spans="1:28" s="9" customFormat="1" ht="20" customHeight="1">
      <c r="A75"/>
      <c r="B75"/>
      <c r="C75"/>
      <c r="D75" s="14" t="str" cm="1">
        <f t="array" ref="D75">IF(ISBLANK($A75),"",_xlfn._xlws.FILTER(Score_Sheet!$AA:$AI,(Score_Sheet!$L:$L=Class_Wise!$B$1)*(Score_Sheet!$A:$A=Class_Wise!$A75),"NA"))</f>
        <v/>
      </c>
      <c r="E75" s="14"/>
      <c r="F75" s="14"/>
      <c r="G75" s="14"/>
      <c r="H75" s="14"/>
      <c r="I75" s="14"/>
      <c r="J75" s="14"/>
      <c r="K75" s="14"/>
      <c r="L75" s="14"/>
      <c r="M75" s="11" t="str" cm="1">
        <f t="array" ref="M75">IF(ISBLANK($A75),"",_xlfn._xlws.FILTER(Score_Sheet!$F:$K,(Score_Sheet!$L:$L=Class_Wise!$B$1)*(Score_Sheet!$A:$A=Class_Wise!$A75),"NA"))</f>
        <v/>
      </c>
      <c r="N75" s="11"/>
      <c r="O75" s="11"/>
      <c r="P75" s="11"/>
      <c r="Q75" s="11"/>
      <c r="R75" s="10"/>
      <c r="S75"/>
      <c r="T75"/>
      <c r="U75"/>
      <c r="V75"/>
      <c r="W75"/>
      <c r="X75"/>
      <c r="Y75"/>
      <c r="Z75"/>
      <c r="AA75"/>
      <c r="AB75"/>
    </row>
    <row r="76" spans="1:28" s="9" customFormat="1" ht="20" customHeight="1">
      <c r="A76"/>
      <c r="B76"/>
      <c r="C76"/>
      <c r="D76" s="14" t="str" cm="1">
        <f t="array" ref="D76">IF(ISBLANK($A76),"",_xlfn._xlws.FILTER(Score_Sheet!$AA:$AI,(Score_Sheet!$L:$L=Class_Wise!$B$1)*(Score_Sheet!$A:$A=Class_Wise!$A76),"NA"))</f>
        <v/>
      </c>
      <c r="E76" s="14"/>
      <c r="F76" s="14"/>
      <c r="G76" s="14"/>
      <c r="H76" s="14"/>
      <c r="I76" s="14"/>
      <c r="J76" s="14"/>
      <c r="K76" s="14"/>
      <c r="L76" s="14"/>
      <c r="M76" s="11" t="str" cm="1">
        <f t="array" ref="M76">IF(ISBLANK($A76),"",_xlfn._xlws.FILTER(Score_Sheet!$F:$K,(Score_Sheet!$L:$L=Class_Wise!$B$1)*(Score_Sheet!$A:$A=Class_Wise!$A76),"NA"))</f>
        <v/>
      </c>
      <c r="N76" s="11"/>
      <c r="O76" s="11"/>
      <c r="P76" s="11"/>
      <c r="Q76" s="11"/>
      <c r="R76" s="10"/>
      <c r="S76"/>
      <c r="T76"/>
      <c r="U76"/>
      <c r="V76"/>
      <c r="W76"/>
      <c r="X76"/>
      <c r="Y76"/>
      <c r="Z76"/>
      <c r="AA76"/>
      <c r="AB76"/>
    </row>
    <row r="77" spans="1:28" s="9" customFormat="1" ht="20" customHeight="1">
      <c r="A77"/>
      <c r="B77"/>
      <c r="C77"/>
      <c r="D77" s="14" t="str" cm="1">
        <f t="array" ref="D77">IF(ISBLANK($A77),"",_xlfn._xlws.FILTER(Score_Sheet!$AA:$AI,(Score_Sheet!$L:$L=Class_Wise!$B$1)*(Score_Sheet!$A:$A=Class_Wise!$A77),"NA"))</f>
        <v/>
      </c>
      <c r="E77" s="14"/>
      <c r="F77" s="14"/>
      <c r="G77" s="14"/>
      <c r="H77" s="14"/>
      <c r="I77" s="14"/>
      <c r="J77" s="14"/>
      <c r="K77" s="14"/>
      <c r="L77" s="14"/>
      <c r="M77" s="11" t="str" cm="1">
        <f t="array" ref="M77">IF(ISBLANK($A77),"",_xlfn._xlws.FILTER(Score_Sheet!$F:$K,(Score_Sheet!$L:$L=Class_Wise!$B$1)*(Score_Sheet!$A:$A=Class_Wise!$A77),"NA"))</f>
        <v/>
      </c>
      <c r="N77" s="11"/>
      <c r="O77" s="11"/>
      <c r="P77" s="11"/>
      <c r="Q77" s="11"/>
      <c r="R77" s="10"/>
      <c r="S77"/>
      <c r="T77"/>
      <c r="U77"/>
      <c r="V77"/>
      <c r="W77"/>
      <c r="X77"/>
      <c r="Y77"/>
      <c r="Z77"/>
      <c r="AA77"/>
      <c r="AB77"/>
    </row>
    <row r="78" spans="1:28" s="9" customFormat="1" ht="20" customHeight="1">
      <c r="A78"/>
      <c r="B78"/>
      <c r="C78"/>
      <c r="D78" s="14" t="str" cm="1">
        <f t="array" ref="D78">IF(ISBLANK($A78),"",_xlfn._xlws.FILTER(Score_Sheet!$AA:$AI,(Score_Sheet!$L:$L=Class_Wise!$B$1)*(Score_Sheet!$A:$A=Class_Wise!$A78),"NA"))</f>
        <v/>
      </c>
      <c r="E78" s="14"/>
      <c r="F78" s="14"/>
      <c r="G78" s="14"/>
      <c r="H78" s="14"/>
      <c r="I78" s="14"/>
      <c r="J78" s="14"/>
      <c r="K78" s="14"/>
      <c r="L78" s="14"/>
      <c r="M78" s="11" t="str" cm="1">
        <f t="array" ref="M78">IF(ISBLANK($A78),"",_xlfn._xlws.FILTER(Score_Sheet!$F:$K,(Score_Sheet!$L:$L=Class_Wise!$B$1)*(Score_Sheet!$A:$A=Class_Wise!$A78),"NA"))</f>
        <v/>
      </c>
      <c r="N78" s="11"/>
      <c r="O78" s="11"/>
      <c r="P78" s="11"/>
      <c r="Q78" s="11"/>
      <c r="R78" s="10"/>
      <c r="S78"/>
      <c r="T78"/>
      <c r="U78"/>
      <c r="V78"/>
      <c r="W78"/>
      <c r="X78"/>
      <c r="Y78"/>
      <c r="Z78"/>
      <c r="AA78"/>
      <c r="AB78"/>
    </row>
    <row r="79" spans="1:28" s="9" customFormat="1" ht="20" customHeight="1">
      <c r="A79"/>
      <c r="B79"/>
      <c r="C79"/>
      <c r="D79" s="14" t="str" cm="1">
        <f t="array" ref="D79">IF(ISBLANK($A79),"",_xlfn._xlws.FILTER(Score_Sheet!$AA:$AI,(Score_Sheet!$L:$L=Class_Wise!$B$1)*(Score_Sheet!$A:$A=Class_Wise!$A79),"NA"))</f>
        <v/>
      </c>
      <c r="E79" s="14"/>
      <c r="F79" s="14"/>
      <c r="G79" s="14"/>
      <c r="H79" s="14"/>
      <c r="I79" s="14"/>
      <c r="J79" s="14"/>
      <c r="K79" s="14"/>
      <c r="L79" s="14"/>
      <c r="M79" s="11" t="str" cm="1">
        <f t="array" ref="M79">IF(ISBLANK($A79),"",_xlfn._xlws.FILTER(Score_Sheet!$F:$K,(Score_Sheet!$L:$L=Class_Wise!$B$1)*(Score_Sheet!$A:$A=Class_Wise!$A79),"NA"))</f>
        <v/>
      </c>
      <c r="N79" s="11"/>
      <c r="O79" s="11"/>
      <c r="P79" s="11"/>
      <c r="Q79" s="11"/>
      <c r="R79" s="10"/>
      <c r="S79"/>
      <c r="T79"/>
      <c r="U79"/>
      <c r="V79"/>
      <c r="W79"/>
      <c r="X79"/>
      <c r="Y79"/>
      <c r="Z79"/>
      <c r="AA79"/>
      <c r="AB79"/>
    </row>
    <row r="80" spans="1:28" s="9" customFormat="1" ht="20" customHeight="1">
      <c r="A80"/>
      <c r="B80"/>
      <c r="C80"/>
      <c r="D80" s="14" t="str" cm="1">
        <f t="array" ref="D80">IF(ISBLANK($A80),"",_xlfn._xlws.FILTER(Score_Sheet!$AA:$AI,(Score_Sheet!$L:$L=Class_Wise!$B$1)*(Score_Sheet!$A:$A=Class_Wise!$A80),"NA"))</f>
        <v/>
      </c>
      <c r="E80" s="14"/>
      <c r="F80" s="14"/>
      <c r="G80" s="14"/>
      <c r="H80" s="14"/>
      <c r="I80" s="14"/>
      <c r="J80" s="14"/>
      <c r="K80" s="14"/>
      <c r="L80" s="14"/>
      <c r="M80" s="11" t="str" cm="1">
        <f t="array" ref="M80">IF(ISBLANK($A80),"",_xlfn._xlws.FILTER(Score_Sheet!$F:$K,(Score_Sheet!$L:$L=Class_Wise!$B$1)*(Score_Sheet!$A:$A=Class_Wise!$A80),"NA"))</f>
        <v/>
      </c>
      <c r="N80" s="11"/>
      <c r="O80" s="11"/>
      <c r="P80" s="11"/>
      <c r="Q80" s="11"/>
      <c r="R80" s="10"/>
      <c r="S80"/>
      <c r="T80"/>
      <c r="U80"/>
      <c r="V80"/>
      <c r="W80"/>
      <c r="X80"/>
      <c r="Y80"/>
      <c r="Z80"/>
      <c r="AA80"/>
      <c r="AB80"/>
    </row>
    <row r="81" spans="1:28" s="9" customFormat="1" ht="20" customHeight="1">
      <c r="A81"/>
      <c r="B81"/>
      <c r="C81"/>
      <c r="D81" s="14" t="str" cm="1">
        <f t="array" ref="D81">IF(ISBLANK($A81),"",_xlfn._xlws.FILTER(Score_Sheet!$AA:$AI,(Score_Sheet!$L:$L=Class_Wise!$B$1)*(Score_Sheet!$A:$A=Class_Wise!$A81),"NA"))</f>
        <v/>
      </c>
      <c r="E81" s="14"/>
      <c r="F81" s="14"/>
      <c r="G81" s="14"/>
      <c r="H81" s="14"/>
      <c r="I81" s="14"/>
      <c r="J81" s="14"/>
      <c r="K81" s="14"/>
      <c r="L81" s="14"/>
      <c r="M81" s="11" t="str" cm="1">
        <f t="array" ref="M81">IF(ISBLANK($A81),"",_xlfn._xlws.FILTER(Score_Sheet!$F:$K,(Score_Sheet!$L:$L=Class_Wise!$B$1)*(Score_Sheet!$A:$A=Class_Wise!$A81),"NA"))</f>
        <v/>
      </c>
      <c r="N81" s="11"/>
      <c r="O81" s="11"/>
      <c r="P81" s="11"/>
      <c r="Q81" s="11"/>
      <c r="R81" s="10"/>
      <c r="S81"/>
      <c r="T81"/>
      <c r="U81"/>
      <c r="V81"/>
      <c r="W81"/>
      <c r="X81"/>
      <c r="Y81"/>
      <c r="Z81"/>
      <c r="AA81"/>
      <c r="AB81"/>
    </row>
    <row r="82" spans="1:28" s="9" customFormat="1" ht="20" customHeight="1">
      <c r="A82"/>
      <c r="B82"/>
      <c r="C82"/>
      <c r="D82" s="14" t="str" cm="1">
        <f t="array" ref="D82">IF(ISBLANK($A82),"",_xlfn._xlws.FILTER(Score_Sheet!$AA:$AI,(Score_Sheet!$L:$L=Class_Wise!$B$1)*(Score_Sheet!$A:$A=Class_Wise!$A82),"NA"))</f>
        <v/>
      </c>
      <c r="E82" s="14"/>
      <c r="F82" s="14"/>
      <c r="G82" s="14"/>
      <c r="H82" s="14"/>
      <c r="I82" s="14"/>
      <c r="J82" s="14"/>
      <c r="K82" s="14"/>
      <c r="L82" s="14"/>
      <c r="M82" s="11" t="str" cm="1">
        <f t="array" ref="M82">IF(ISBLANK($A82),"",_xlfn._xlws.FILTER(Score_Sheet!$F:$K,(Score_Sheet!$L:$L=Class_Wise!$B$1)*(Score_Sheet!$A:$A=Class_Wise!$A82),"NA"))</f>
        <v/>
      </c>
      <c r="N82" s="11"/>
      <c r="O82" s="11"/>
      <c r="P82" s="11"/>
      <c r="Q82" s="11"/>
      <c r="R82" s="10"/>
      <c r="S82"/>
      <c r="T82"/>
      <c r="U82"/>
      <c r="V82"/>
      <c r="W82"/>
      <c r="X82"/>
      <c r="Y82"/>
      <c r="Z82"/>
      <c r="AA82"/>
      <c r="AB82"/>
    </row>
    <row r="83" spans="1:28" s="9" customFormat="1" ht="20" customHeight="1">
      <c r="A83"/>
      <c r="B83"/>
      <c r="C83"/>
      <c r="D83" s="14" t="str" cm="1">
        <f t="array" ref="D83">IF(ISBLANK($A83),"",_xlfn._xlws.FILTER(Score_Sheet!$AA:$AI,(Score_Sheet!$L:$L=Class_Wise!$B$1)*(Score_Sheet!$A:$A=Class_Wise!$A83),"NA"))</f>
        <v/>
      </c>
      <c r="E83" s="14"/>
      <c r="F83" s="14"/>
      <c r="G83" s="14"/>
      <c r="H83" s="14"/>
      <c r="I83" s="14"/>
      <c r="J83" s="14"/>
      <c r="K83" s="14"/>
      <c r="L83" s="14"/>
      <c r="M83" s="11" t="str" cm="1">
        <f t="array" ref="M83">IF(ISBLANK($A83),"",_xlfn._xlws.FILTER(Score_Sheet!$F:$K,(Score_Sheet!$L:$L=Class_Wise!$B$1)*(Score_Sheet!$A:$A=Class_Wise!$A83),"NA"))</f>
        <v/>
      </c>
      <c r="N83" s="11"/>
      <c r="O83" s="11"/>
      <c r="P83" s="11"/>
      <c r="Q83" s="11"/>
      <c r="R83" s="10"/>
      <c r="S83"/>
      <c r="T83"/>
      <c r="U83"/>
      <c r="V83"/>
      <c r="W83"/>
      <c r="X83"/>
      <c r="Y83"/>
      <c r="Z83"/>
      <c r="AA83"/>
      <c r="AB83"/>
    </row>
    <row r="84" spans="1:28" s="9" customFormat="1" ht="20" customHeight="1">
      <c r="A84"/>
      <c r="B84"/>
      <c r="C84"/>
      <c r="D84" s="14" t="str" cm="1">
        <f t="array" ref="D84">IF(ISBLANK($A84),"",_xlfn._xlws.FILTER(Score_Sheet!$AA:$AI,(Score_Sheet!$L:$L=Class_Wise!$B$1)*(Score_Sheet!$A:$A=Class_Wise!$A84),"NA"))</f>
        <v/>
      </c>
      <c r="E84" s="14"/>
      <c r="F84" s="14"/>
      <c r="G84" s="14"/>
      <c r="H84" s="14"/>
      <c r="I84" s="14"/>
      <c r="J84" s="14"/>
      <c r="K84" s="14"/>
      <c r="L84" s="14"/>
      <c r="M84" s="11" t="str" cm="1">
        <f t="array" ref="M84">IF(ISBLANK($A84),"",_xlfn._xlws.FILTER(Score_Sheet!$F:$K,(Score_Sheet!$L:$L=Class_Wise!$B$1)*(Score_Sheet!$A:$A=Class_Wise!$A84),"NA"))</f>
        <v/>
      </c>
      <c r="N84" s="11"/>
      <c r="O84" s="11"/>
      <c r="P84" s="11"/>
      <c r="Q84" s="11"/>
      <c r="R84" s="10"/>
      <c r="S84"/>
      <c r="T84"/>
      <c r="U84"/>
      <c r="V84"/>
      <c r="W84"/>
      <c r="X84"/>
      <c r="Y84"/>
      <c r="Z84"/>
      <c r="AA84"/>
      <c r="AB84"/>
    </row>
    <row r="85" spans="1:28" s="9" customFormat="1" ht="20" customHeight="1">
      <c r="A85"/>
      <c r="B85"/>
      <c r="C85"/>
      <c r="D85" s="14" t="str" cm="1">
        <f t="array" ref="D85">IF(ISBLANK($A85),"",_xlfn._xlws.FILTER(Score_Sheet!$AA:$AI,(Score_Sheet!$L:$L=Class_Wise!$B$1)*(Score_Sheet!$A:$A=Class_Wise!$A85),"NA"))</f>
        <v/>
      </c>
      <c r="E85" s="14"/>
      <c r="F85" s="14"/>
      <c r="G85" s="14"/>
      <c r="H85" s="14"/>
      <c r="I85" s="14"/>
      <c r="J85" s="14"/>
      <c r="K85" s="14"/>
      <c r="L85" s="14"/>
      <c r="M85" s="11" t="str" cm="1">
        <f t="array" ref="M85">IF(ISBLANK($A85),"",_xlfn._xlws.FILTER(Score_Sheet!$F:$K,(Score_Sheet!$L:$L=Class_Wise!$B$1)*(Score_Sheet!$A:$A=Class_Wise!$A85),"NA"))</f>
        <v/>
      </c>
      <c r="N85" s="11"/>
      <c r="O85" s="11"/>
      <c r="P85" s="11"/>
      <c r="Q85" s="11"/>
      <c r="R85" s="10"/>
      <c r="S85"/>
      <c r="T85"/>
      <c r="U85"/>
      <c r="V85"/>
      <c r="W85"/>
      <c r="X85"/>
      <c r="Y85"/>
      <c r="Z85"/>
      <c r="AA85"/>
      <c r="AB85"/>
    </row>
    <row r="86" spans="1:28" s="9" customFormat="1" ht="20" customHeight="1">
      <c r="A86"/>
      <c r="B86"/>
      <c r="C86"/>
      <c r="D86" s="14" t="str" cm="1">
        <f t="array" ref="D86">IF(ISBLANK($A86),"",_xlfn._xlws.FILTER(Score_Sheet!$AA:$AI,(Score_Sheet!$L:$L=Class_Wise!$B$1)*(Score_Sheet!$A:$A=Class_Wise!$A86),"NA"))</f>
        <v/>
      </c>
      <c r="E86" s="14"/>
      <c r="F86" s="14"/>
      <c r="G86" s="14"/>
      <c r="H86" s="14"/>
      <c r="I86" s="14"/>
      <c r="J86" s="14"/>
      <c r="K86" s="14"/>
      <c r="L86" s="14"/>
      <c r="M86" s="11" t="str" cm="1">
        <f t="array" ref="M86">IF(ISBLANK($A86),"",_xlfn._xlws.FILTER(Score_Sheet!$F:$K,(Score_Sheet!$L:$L=Class_Wise!$B$1)*(Score_Sheet!$A:$A=Class_Wise!$A86),"NA"))</f>
        <v/>
      </c>
      <c r="N86" s="11"/>
      <c r="O86" s="11"/>
      <c r="P86" s="11"/>
      <c r="Q86" s="11"/>
      <c r="R86" s="10"/>
      <c r="S86"/>
      <c r="T86"/>
      <c r="U86"/>
      <c r="V86"/>
      <c r="W86"/>
      <c r="X86"/>
      <c r="Y86"/>
      <c r="Z86"/>
      <c r="AA86"/>
      <c r="AB86"/>
    </row>
    <row r="87" spans="1:28" s="9" customFormat="1" ht="20" customHeight="1">
      <c r="A87"/>
      <c r="B87"/>
      <c r="C87"/>
      <c r="D87" s="14" t="str" cm="1">
        <f t="array" ref="D87">IF(ISBLANK($A87),"",_xlfn._xlws.FILTER(Score_Sheet!$AA:$AI,(Score_Sheet!$L:$L=Class_Wise!$B$1)*(Score_Sheet!$A:$A=Class_Wise!$A87),"NA"))</f>
        <v/>
      </c>
      <c r="E87" s="14"/>
      <c r="F87" s="14"/>
      <c r="G87" s="14"/>
      <c r="H87" s="14"/>
      <c r="I87" s="14"/>
      <c r="J87" s="14"/>
      <c r="K87" s="14"/>
      <c r="L87" s="14"/>
      <c r="M87" s="11" t="str" cm="1">
        <f t="array" ref="M87">IF(ISBLANK($A87),"",_xlfn._xlws.FILTER(Score_Sheet!$F:$K,(Score_Sheet!$L:$L=Class_Wise!$B$1)*(Score_Sheet!$A:$A=Class_Wise!$A87),"NA"))</f>
        <v/>
      </c>
      <c r="N87" s="11"/>
      <c r="O87" s="11"/>
      <c r="P87" s="11"/>
      <c r="Q87" s="11"/>
      <c r="R87" s="10"/>
      <c r="S87"/>
      <c r="T87"/>
      <c r="U87"/>
      <c r="V87"/>
      <c r="W87"/>
      <c r="X87"/>
      <c r="Y87"/>
      <c r="Z87"/>
      <c r="AA87"/>
      <c r="AB87"/>
    </row>
    <row r="88" spans="1:28" s="9" customFormat="1" ht="20" customHeight="1">
      <c r="A88"/>
      <c r="B88"/>
      <c r="C88"/>
      <c r="D88" s="14" t="str" cm="1">
        <f t="array" ref="D88">IF(ISBLANK($A88),"",_xlfn._xlws.FILTER(Score_Sheet!$AA:$AI,(Score_Sheet!$L:$L=Class_Wise!$B$1)*(Score_Sheet!$A:$A=Class_Wise!$A88),"NA"))</f>
        <v/>
      </c>
      <c r="E88" s="14"/>
      <c r="F88" s="14"/>
      <c r="G88" s="14"/>
      <c r="H88" s="14"/>
      <c r="I88" s="14"/>
      <c r="J88" s="14"/>
      <c r="K88" s="14"/>
      <c r="L88" s="14"/>
      <c r="M88" s="11" t="str" cm="1">
        <f t="array" ref="M88">IF(ISBLANK($A88),"",_xlfn._xlws.FILTER(Score_Sheet!$F:$K,(Score_Sheet!$L:$L=Class_Wise!$B$1)*(Score_Sheet!$A:$A=Class_Wise!$A88),"NA"))</f>
        <v/>
      </c>
      <c r="N88" s="11"/>
      <c r="O88" s="11"/>
      <c r="P88" s="11"/>
      <c r="Q88" s="11"/>
      <c r="R88" s="10"/>
      <c r="S88"/>
      <c r="T88"/>
      <c r="U88"/>
      <c r="V88"/>
      <c r="W88"/>
      <c r="X88"/>
      <c r="Y88"/>
      <c r="Z88"/>
      <c r="AA88"/>
      <c r="AB88"/>
    </row>
    <row r="89" spans="1:28" s="9" customFormat="1" ht="20" customHeight="1">
      <c r="A89"/>
      <c r="B89"/>
      <c r="C89"/>
      <c r="D89" s="14" t="str" cm="1">
        <f t="array" ref="D89">IF(ISBLANK($A89),"",_xlfn._xlws.FILTER(Score_Sheet!$AA:$AI,(Score_Sheet!$L:$L=Class_Wise!$B$1)*(Score_Sheet!$A:$A=Class_Wise!$A89),"NA"))</f>
        <v/>
      </c>
      <c r="E89" s="14"/>
      <c r="F89" s="14"/>
      <c r="G89" s="14"/>
      <c r="H89" s="14"/>
      <c r="I89" s="14"/>
      <c r="J89" s="14"/>
      <c r="K89" s="14"/>
      <c r="L89" s="14"/>
      <c r="M89" s="11" t="str" cm="1">
        <f t="array" ref="M89">IF(ISBLANK($A89),"",_xlfn._xlws.FILTER(Score_Sheet!$F:$K,(Score_Sheet!$L:$L=Class_Wise!$B$1)*(Score_Sheet!$A:$A=Class_Wise!$A89),"NA"))</f>
        <v/>
      </c>
      <c r="N89" s="11"/>
      <c r="O89" s="11"/>
      <c r="P89" s="11"/>
      <c r="Q89" s="11"/>
      <c r="R89" s="10"/>
      <c r="S89"/>
      <c r="T89"/>
      <c r="U89"/>
      <c r="V89"/>
      <c r="W89"/>
      <c r="X89"/>
      <c r="Y89"/>
      <c r="Z89"/>
      <c r="AA89"/>
      <c r="AB89"/>
    </row>
    <row r="90" spans="1:28" s="9" customFormat="1" ht="20" customHeight="1">
      <c r="A90"/>
      <c r="B90"/>
      <c r="C90"/>
      <c r="D90" s="14" t="str" cm="1">
        <f t="array" ref="D90">IF(ISBLANK($A90),"",_xlfn._xlws.FILTER(Score_Sheet!$AA:$AI,(Score_Sheet!$L:$L=Class_Wise!$B$1)*(Score_Sheet!$A:$A=Class_Wise!$A90),"NA"))</f>
        <v/>
      </c>
      <c r="E90" s="14"/>
      <c r="F90" s="14"/>
      <c r="G90" s="14"/>
      <c r="H90" s="14"/>
      <c r="I90" s="14"/>
      <c r="J90" s="14"/>
      <c r="K90" s="14"/>
      <c r="L90" s="14"/>
      <c r="M90" s="11" t="str" cm="1">
        <f t="array" ref="M90">IF(ISBLANK($A90),"",_xlfn._xlws.FILTER(Score_Sheet!$F:$K,(Score_Sheet!$L:$L=Class_Wise!$B$1)*(Score_Sheet!$A:$A=Class_Wise!$A90),"NA"))</f>
        <v/>
      </c>
      <c r="N90" s="11"/>
      <c r="O90" s="11"/>
      <c r="P90" s="11"/>
      <c r="Q90" s="11"/>
      <c r="R90" s="10"/>
      <c r="S90"/>
      <c r="T90"/>
      <c r="U90"/>
      <c r="V90"/>
      <c r="W90"/>
      <c r="X90"/>
      <c r="Y90"/>
      <c r="Z90"/>
      <c r="AA90"/>
      <c r="AB90"/>
    </row>
    <row r="91" spans="1:28" s="9" customFormat="1" ht="20" customHeight="1">
      <c r="A91"/>
      <c r="B91"/>
      <c r="C91"/>
      <c r="D91" s="14" t="str" cm="1">
        <f t="array" ref="D91">IF(ISBLANK($A91),"",_xlfn._xlws.FILTER(Score_Sheet!$AA:$AI,(Score_Sheet!$L:$L=Class_Wise!$B$1)*(Score_Sheet!$A:$A=Class_Wise!$A91),"NA"))</f>
        <v/>
      </c>
      <c r="E91" s="14"/>
      <c r="F91" s="14"/>
      <c r="G91" s="14"/>
      <c r="H91" s="14"/>
      <c r="I91" s="14"/>
      <c r="J91" s="14"/>
      <c r="K91" s="14"/>
      <c r="L91" s="14"/>
      <c r="M91" s="11" t="str" cm="1">
        <f t="array" ref="M91">IF(ISBLANK($A91),"",_xlfn._xlws.FILTER(Score_Sheet!$F:$K,(Score_Sheet!$L:$L=Class_Wise!$B$1)*(Score_Sheet!$A:$A=Class_Wise!$A91),"NA"))</f>
        <v/>
      </c>
      <c r="N91" s="11"/>
      <c r="O91" s="11"/>
      <c r="P91" s="11"/>
      <c r="Q91" s="11"/>
      <c r="R91" s="10"/>
      <c r="S91"/>
      <c r="T91"/>
      <c r="U91"/>
      <c r="V91"/>
      <c r="W91"/>
      <c r="X91"/>
      <c r="Y91"/>
      <c r="Z91"/>
      <c r="AA91"/>
      <c r="AB91"/>
    </row>
    <row r="92" spans="1:28" s="9" customFormat="1" ht="20" customHeight="1">
      <c r="A92"/>
      <c r="B92"/>
      <c r="C92"/>
      <c r="D92" s="14" t="str" cm="1">
        <f t="array" ref="D92">IF(ISBLANK($A92),"",_xlfn._xlws.FILTER(Score_Sheet!$AA:$AI,(Score_Sheet!$L:$L=Class_Wise!$B$1)*(Score_Sheet!$A:$A=Class_Wise!$A92),"NA"))</f>
        <v/>
      </c>
      <c r="E92" s="14"/>
      <c r="F92" s="14"/>
      <c r="G92" s="14"/>
      <c r="H92" s="14"/>
      <c r="I92" s="14"/>
      <c r="J92" s="14"/>
      <c r="K92" s="14"/>
      <c r="L92" s="14"/>
      <c r="M92" s="11" t="str" cm="1">
        <f t="array" ref="M92">IF(ISBLANK($A92),"",_xlfn._xlws.FILTER(Score_Sheet!$F:$K,(Score_Sheet!$L:$L=Class_Wise!$B$1)*(Score_Sheet!$A:$A=Class_Wise!$A92),"NA"))</f>
        <v/>
      </c>
      <c r="N92" s="11"/>
      <c r="O92" s="11"/>
      <c r="P92" s="11"/>
      <c r="Q92" s="11"/>
      <c r="R92" s="10"/>
      <c r="S92"/>
      <c r="T92"/>
      <c r="U92"/>
      <c r="V92"/>
      <c r="W92"/>
      <c r="X92"/>
      <c r="Y92"/>
      <c r="Z92"/>
      <c r="AA92"/>
      <c r="AB92"/>
    </row>
    <row r="93" spans="1:28" s="9" customFormat="1" ht="20" customHeight="1">
      <c r="A93"/>
      <c r="B93"/>
      <c r="C93"/>
      <c r="D93" s="14" t="str" cm="1">
        <f t="array" ref="D93">IF(ISBLANK($A93),"",_xlfn._xlws.FILTER(Score_Sheet!$AA:$AI,(Score_Sheet!$L:$L=Class_Wise!$B$1)*(Score_Sheet!$A:$A=Class_Wise!$A93),"NA"))</f>
        <v/>
      </c>
      <c r="E93" s="14"/>
      <c r="F93" s="14"/>
      <c r="G93" s="14"/>
      <c r="H93" s="14"/>
      <c r="I93" s="14"/>
      <c r="J93" s="14"/>
      <c r="K93" s="14"/>
      <c r="L93" s="14"/>
      <c r="M93" s="11" t="str" cm="1">
        <f t="array" ref="M93">IF(ISBLANK($A93),"",_xlfn._xlws.FILTER(Score_Sheet!$F:$K,(Score_Sheet!$L:$L=Class_Wise!$B$1)*(Score_Sheet!$A:$A=Class_Wise!$A93),"NA"))</f>
        <v/>
      </c>
      <c r="N93" s="11"/>
      <c r="O93" s="11"/>
      <c r="P93" s="11"/>
      <c r="Q93" s="11"/>
      <c r="R93" s="10"/>
      <c r="S93"/>
      <c r="T93"/>
      <c r="U93"/>
      <c r="V93"/>
      <c r="W93"/>
      <c r="X93"/>
      <c r="Y93"/>
      <c r="Z93"/>
      <c r="AA93"/>
      <c r="AB93"/>
    </row>
    <row r="94" spans="1:28" s="9" customFormat="1" ht="20" customHeight="1">
      <c r="A94"/>
      <c r="B94"/>
      <c r="C94"/>
      <c r="D94" s="14" t="str" cm="1">
        <f t="array" ref="D94">IF(ISBLANK($A94),"",_xlfn._xlws.FILTER(Score_Sheet!$AA:$AI,(Score_Sheet!$L:$L=Class_Wise!$B$1)*(Score_Sheet!$A:$A=Class_Wise!$A94),"NA"))</f>
        <v/>
      </c>
      <c r="E94" s="14"/>
      <c r="F94" s="14"/>
      <c r="G94" s="14"/>
      <c r="H94" s="14"/>
      <c r="I94" s="14"/>
      <c r="J94" s="14"/>
      <c r="K94" s="14"/>
      <c r="L94" s="14"/>
      <c r="M94" s="11" t="str" cm="1">
        <f t="array" ref="M94">IF(ISBLANK($A94),"",_xlfn._xlws.FILTER(Score_Sheet!$F:$K,(Score_Sheet!$L:$L=Class_Wise!$B$1)*(Score_Sheet!$A:$A=Class_Wise!$A94),"NA"))</f>
        <v/>
      </c>
      <c r="N94" s="11"/>
      <c r="O94" s="11"/>
      <c r="P94" s="11"/>
      <c r="Q94" s="11"/>
      <c r="R94" s="10"/>
      <c r="S94"/>
      <c r="T94"/>
      <c r="U94"/>
      <c r="V94"/>
      <c r="W94"/>
      <c r="X94"/>
      <c r="Y94"/>
      <c r="Z94"/>
      <c r="AA94"/>
      <c r="AB94"/>
    </row>
    <row r="95" spans="1:28" s="9" customFormat="1" ht="20" customHeight="1">
      <c r="A95"/>
      <c r="B95"/>
      <c r="C95"/>
      <c r="D95" s="14" t="str" cm="1">
        <f t="array" ref="D95">IF(ISBLANK($A95),"",_xlfn._xlws.FILTER(Score_Sheet!$AA:$AI,(Score_Sheet!$L:$L=Class_Wise!$B$1)*(Score_Sheet!$A:$A=Class_Wise!$A95),"NA"))</f>
        <v/>
      </c>
      <c r="E95" s="14"/>
      <c r="F95" s="14"/>
      <c r="G95" s="14"/>
      <c r="H95" s="14"/>
      <c r="I95" s="14"/>
      <c r="J95" s="14"/>
      <c r="K95" s="14"/>
      <c r="L95" s="14"/>
      <c r="M95" s="11" t="str" cm="1">
        <f t="array" ref="M95">IF(ISBLANK($A95),"",_xlfn._xlws.FILTER(Score_Sheet!$F:$K,(Score_Sheet!$L:$L=Class_Wise!$B$1)*(Score_Sheet!$A:$A=Class_Wise!$A95),"NA"))</f>
        <v/>
      </c>
      <c r="N95" s="11"/>
      <c r="O95" s="11"/>
      <c r="P95" s="11"/>
      <c r="Q95" s="11"/>
      <c r="R95" s="10"/>
      <c r="S95"/>
      <c r="T95"/>
      <c r="U95"/>
      <c r="V95"/>
      <c r="W95"/>
      <c r="X95"/>
      <c r="Y95"/>
      <c r="Z95"/>
      <c r="AA95"/>
      <c r="AB95"/>
    </row>
    <row r="96" spans="1:28" s="9" customFormat="1" ht="20" customHeight="1">
      <c r="A96"/>
      <c r="B96"/>
      <c r="C96"/>
      <c r="D96" s="14" t="str" cm="1">
        <f t="array" ref="D96">IF(ISBLANK($A96),"",_xlfn._xlws.FILTER(Score_Sheet!$AA:$AI,(Score_Sheet!$L:$L=Class_Wise!$B$1)*(Score_Sheet!$A:$A=Class_Wise!$A96),"NA"))</f>
        <v/>
      </c>
      <c r="E96" s="14"/>
      <c r="F96" s="14"/>
      <c r="G96" s="14"/>
      <c r="H96" s="14"/>
      <c r="I96" s="14"/>
      <c r="J96" s="14"/>
      <c r="K96" s="14"/>
      <c r="L96" s="14"/>
      <c r="M96" s="11" t="str" cm="1">
        <f t="array" ref="M96">IF(ISBLANK($A96),"",_xlfn._xlws.FILTER(Score_Sheet!$F:$K,(Score_Sheet!$L:$L=Class_Wise!$B$1)*(Score_Sheet!$A:$A=Class_Wise!$A96),"NA"))</f>
        <v/>
      </c>
      <c r="N96" s="11"/>
      <c r="O96" s="11"/>
      <c r="P96" s="11"/>
      <c r="Q96" s="11"/>
      <c r="R96" s="10"/>
      <c r="S96"/>
      <c r="T96"/>
      <c r="U96"/>
      <c r="V96"/>
      <c r="W96"/>
      <c r="X96"/>
      <c r="Y96"/>
      <c r="Z96"/>
      <c r="AA96"/>
      <c r="AB96"/>
    </row>
    <row r="97" spans="1:28" s="9" customFormat="1" ht="20" customHeight="1">
      <c r="A97"/>
      <c r="B97"/>
      <c r="C97"/>
      <c r="D97" s="14" t="str" cm="1">
        <f t="array" ref="D97">IF(ISBLANK($A97),"",_xlfn._xlws.FILTER(Score_Sheet!$AA:$AI,(Score_Sheet!$L:$L=Class_Wise!$B$1)*(Score_Sheet!$A:$A=Class_Wise!$A97),"NA"))</f>
        <v/>
      </c>
      <c r="E97" s="14"/>
      <c r="F97" s="14"/>
      <c r="G97" s="14"/>
      <c r="H97" s="14"/>
      <c r="I97" s="14"/>
      <c r="J97" s="14"/>
      <c r="K97" s="14"/>
      <c r="L97" s="14"/>
      <c r="M97" s="11" t="str" cm="1">
        <f t="array" ref="M97">IF(ISBLANK($A97),"",_xlfn._xlws.FILTER(Score_Sheet!$F:$K,(Score_Sheet!$L:$L=Class_Wise!$B$1)*(Score_Sheet!$A:$A=Class_Wise!$A97),"NA"))</f>
        <v/>
      </c>
      <c r="N97" s="11"/>
      <c r="O97" s="11"/>
      <c r="P97" s="11"/>
      <c r="Q97" s="11"/>
      <c r="R97" s="10"/>
      <c r="S97"/>
      <c r="T97"/>
      <c r="U97"/>
      <c r="V97"/>
      <c r="W97"/>
      <c r="X97"/>
      <c r="Y97"/>
      <c r="Z97"/>
      <c r="AA97"/>
      <c r="AB97"/>
    </row>
    <row r="98" spans="1:28" s="9" customFormat="1" ht="20" customHeight="1">
      <c r="A98"/>
      <c r="B98"/>
      <c r="C98"/>
      <c r="D98" s="14" t="str" cm="1">
        <f t="array" ref="D98">IF(ISBLANK($A98),"",_xlfn._xlws.FILTER(Score_Sheet!$AA:$AI,(Score_Sheet!$L:$L=Class_Wise!$B$1)*(Score_Sheet!$A:$A=Class_Wise!$A98),"NA"))</f>
        <v/>
      </c>
      <c r="E98" s="14"/>
      <c r="F98" s="14"/>
      <c r="G98" s="14"/>
      <c r="H98" s="14"/>
      <c r="I98" s="14"/>
      <c r="J98" s="14"/>
      <c r="K98" s="14"/>
      <c r="L98" s="14"/>
      <c r="M98" s="11" t="str" cm="1">
        <f t="array" ref="M98">IF(ISBLANK($A98),"",_xlfn._xlws.FILTER(Score_Sheet!$F:$K,(Score_Sheet!$L:$L=Class_Wise!$B$1)*(Score_Sheet!$A:$A=Class_Wise!$A98),"NA"))</f>
        <v/>
      </c>
      <c r="N98" s="11"/>
      <c r="O98" s="11"/>
      <c r="P98" s="11"/>
      <c r="Q98" s="11"/>
      <c r="R98" s="10"/>
      <c r="S98"/>
      <c r="T98"/>
      <c r="U98"/>
      <c r="V98"/>
      <c r="W98"/>
      <c r="X98"/>
      <c r="Y98"/>
      <c r="Z98"/>
      <c r="AA98"/>
      <c r="AB98"/>
    </row>
    <row r="99" spans="1:28" s="9" customFormat="1" ht="20" customHeight="1">
      <c r="A99"/>
      <c r="B99"/>
      <c r="C99"/>
      <c r="D99" s="14" t="str" cm="1">
        <f t="array" ref="D99">IF(ISBLANK($A99),"",_xlfn._xlws.FILTER(Score_Sheet!$AA:$AI,(Score_Sheet!$L:$L=Class_Wise!$B$1)*(Score_Sheet!$A:$A=Class_Wise!$A99),"NA"))</f>
        <v/>
      </c>
      <c r="E99" s="14"/>
      <c r="F99" s="14"/>
      <c r="G99" s="14"/>
      <c r="H99" s="14"/>
      <c r="I99" s="14"/>
      <c r="J99" s="14"/>
      <c r="K99" s="14"/>
      <c r="L99" s="14"/>
      <c r="M99" s="11" t="str" cm="1">
        <f t="array" ref="M99">IF(ISBLANK($A99),"",_xlfn._xlws.FILTER(Score_Sheet!$F:$K,(Score_Sheet!$L:$L=Class_Wise!$B$1)*(Score_Sheet!$A:$A=Class_Wise!$A99),"NA"))</f>
        <v/>
      </c>
      <c r="N99" s="11"/>
      <c r="O99" s="11"/>
      <c r="P99" s="11"/>
      <c r="Q99" s="11"/>
      <c r="R99" s="10"/>
      <c r="S99"/>
      <c r="T99"/>
      <c r="U99"/>
      <c r="V99"/>
      <c r="W99"/>
      <c r="X99"/>
      <c r="Y99"/>
      <c r="Z99"/>
      <c r="AA99"/>
      <c r="AB99"/>
    </row>
    <row r="100" spans="1:28" s="9" customFormat="1" ht="20" customHeight="1">
      <c r="A100"/>
      <c r="B100"/>
      <c r="C100"/>
      <c r="D100" s="14" t="str" cm="1">
        <f t="array" ref="D100">IF(ISBLANK($A100),"",_xlfn._xlws.FILTER(Score_Sheet!$AA:$AI,(Score_Sheet!$L:$L=Class_Wise!$B$1)*(Score_Sheet!$A:$A=Class_Wise!$A100),"NA"))</f>
        <v/>
      </c>
      <c r="E100" s="14"/>
      <c r="F100" s="14"/>
      <c r="G100" s="14"/>
      <c r="H100" s="14"/>
      <c r="I100" s="14"/>
      <c r="J100" s="14"/>
      <c r="K100" s="14"/>
      <c r="L100" s="14"/>
      <c r="M100" s="11" t="str" cm="1">
        <f t="array" ref="M100">IF(ISBLANK($A100),"",_xlfn._xlws.FILTER(Score_Sheet!$F:$K,(Score_Sheet!$L:$L=Class_Wise!$B$1)*(Score_Sheet!$A:$A=Class_Wise!$A100),"NA"))</f>
        <v/>
      </c>
      <c r="N100" s="11"/>
      <c r="O100" s="11"/>
      <c r="P100" s="11"/>
      <c r="Q100" s="11"/>
      <c r="R100" s="10"/>
      <c r="S100"/>
      <c r="T100"/>
      <c r="U100"/>
      <c r="V100"/>
      <c r="W100"/>
      <c r="X100"/>
      <c r="Y100"/>
      <c r="Z100"/>
      <c r="AA100"/>
      <c r="AB100"/>
    </row>
    <row r="101" spans="1:28" s="9" customFormat="1" ht="20" customHeight="1">
      <c r="A101"/>
      <c r="B101"/>
      <c r="C101"/>
      <c r="D101" s="14" t="str" cm="1">
        <f t="array" ref="D101">IF(ISBLANK($A101),"",_xlfn._xlws.FILTER(Score_Sheet!$AA:$AI,(Score_Sheet!$L:$L=Class_Wise!$B$1)*(Score_Sheet!$A:$A=Class_Wise!$A101),"NA"))</f>
        <v/>
      </c>
      <c r="E101" s="14"/>
      <c r="F101" s="14"/>
      <c r="G101" s="14"/>
      <c r="H101" s="14"/>
      <c r="I101" s="14"/>
      <c r="J101" s="14"/>
      <c r="K101" s="14"/>
      <c r="L101" s="14"/>
      <c r="M101" s="11" t="str" cm="1">
        <f t="array" ref="M101">IF(ISBLANK($A101),"",_xlfn._xlws.FILTER(Score_Sheet!$F:$K,(Score_Sheet!$L:$L=Class_Wise!$B$1)*(Score_Sheet!$A:$A=Class_Wise!$A101),"NA"))</f>
        <v/>
      </c>
      <c r="N101" s="11"/>
      <c r="O101" s="11"/>
      <c r="P101" s="11"/>
      <c r="Q101" s="11"/>
      <c r="R101" s="10"/>
      <c r="S101"/>
      <c r="T101"/>
      <c r="U101"/>
      <c r="V101"/>
      <c r="W101"/>
      <c r="X101"/>
      <c r="Y101"/>
      <c r="Z101"/>
      <c r="AA101"/>
      <c r="AB101"/>
    </row>
    <row r="102" spans="1:28" s="9" customFormat="1" ht="20" customHeight="1">
      <c r="A102"/>
      <c r="B102"/>
      <c r="C102"/>
      <c r="D102" s="14" t="str" cm="1">
        <f t="array" ref="D102">IF(ISBLANK($A102),"",_xlfn._xlws.FILTER(Score_Sheet!$AA:$AI,(Score_Sheet!$L:$L=Class_Wise!$B$1)*(Score_Sheet!$A:$A=Class_Wise!$A102),"NA"))</f>
        <v/>
      </c>
      <c r="E102" s="14"/>
      <c r="F102" s="14"/>
      <c r="G102" s="14"/>
      <c r="H102" s="14"/>
      <c r="I102" s="14"/>
      <c r="J102" s="14"/>
      <c r="K102" s="14"/>
      <c r="L102" s="14"/>
      <c r="M102" s="11" t="str" cm="1">
        <f t="array" ref="M102">IF(ISBLANK($A102),"",_xlfn._xlws.FILTER(Score_Sheet!$F:$K,(Score_Sheet!$L:$L=Class_Wise!$B$1)*(Score_Sheet!$A:$A=Class_Wise!$A102),"NA"))</f>
        <v/>
      </c>
      <c r="N102" s="11"/>
      <c r="O102" s="11"/>
      <c r="P102" s="11"/>
      <c r="Q102" s="11"/>
      <c r="R102" s="10"/>
      <c r="S102"/>
      <c r="T102"/>
      <c r="U102"/>
      <c r="V102"/>
      <c r="W102"/>
      <c r="X102"/>
      <c r="Y102"/>
      <c r="Z102"/>
      <c r="AA102"/>
      <c r="AB102"/>
    </row>
    <row r="103" spans="1:28" s="9" customFormat="1" ht="20" customHeight="1">
      <c r="A103"/>
      <c r="B103"/>
      <c r="C103"/>
      <c r="D103" s="14" t="str" cm="1">
        <f t="array" ref="D103">IF(ISBLANK($A103),"",_xlfn._xlws.FILTER(Score_Sheet!$AA:$AI,(Score_Sheet!$L:$L=Class_Wise!$B$1)*(Score_Sheet!$A:$A=Class_Wise!$A103),"NA"))</f>
        <v/>
      </c>
      <c r="E103" s="14"/>
      <c r="F103" s="14"/>
      <c r="G103" s="14"/>
      <c r="H103" s="14"/>
      <c r="I103" s="14"/>
      <c r="J103" s="14"/>
      <c r="K103" s="14"/>
      <c r="L103" s="14"/>
      <c r="M103" s="11" t="str" cm="1">
        <f t="array" ref="M103">IF(ISBLANK($A103),"",_xlfn._xlws.FILTER(Score_Sheet!$F:$K,(Score_Sheet!$L:$L=Class_Wise!$B$1)*(Score_Sheet!$A:$A=Class_Wise!$A103),"NA"))</f>
        <v/>
      </c>
      <c r="N103" s="11"/>
      <c r="O103" s="11"/>
      <c r="P103" s="11"/>
      <c r="Q103" s="11"/>
      <c r="R103" s="10"/>
      <c r="S103"/>
      <c r="T103"/>
      <c r="U103"/>
      <c r="V103"/>
      <c r="W103"/>
      <c r="X103"/>
      <c r="Y103"/>
      <c r="Z103"/>
      <c r="AA103"/>
      <c r="AB103"/>
    </row>
    <row r="104" spans="1:28" s="9" customFormat="1" ht="20" customHeight="1">
      <c r="A104"/>
      <c r="B104"/>
      <c r="C104"/>
      <c r="D104" s="14" t="str" cm="1">
        <f t="array" ref="D104">IF(ISBLANK($A104),"",_xlfn._xlws.FILTER(Score_Sheet!$AA:$AI,(Score_Sheet!$L:$L=Class_Wise!$B$1)*(Score_Sheet!$A:$A=Class_Wise!$A104),"NA"))</f>
        <v/>
      </c>
      <c r="E104" s="14"/>
      <c r="F104" s="14"/>
      <c r="G104" s="14"/>
      <c r="H104" s="14"/>
      <c r="I104" s="14"/>
      <c r="J104" s="14"/>
      <c r="K104" s="14"/>
      <c r="L104" s="14"/>
      <c r="M104" s="11" t="str" cm="1">
        <f t="array" ref="M104">IF(ISBLANK($A104),"",_xlfn._xlws.FILTER(Score_Sheet!$F:$K,(Score_Sheet!$L:$L=Class_Wise!$B$1)*(Score_Sheet!$A:$A=Class_Wise!$A104),"NA"))</f>
        <v/>
      </c>
      <c r="N104" s="11"/>
      <c r="O104" s="11"/>
      <c r="P104" s="11"/>
      <c r="Q104" s="11"/>
      <c r="R104" s="10"/>
      <c r="S104"/>
      <c r="T104"/>
      <c r="U104"/>
      <c r="V104"/>
      <c r="W104"/>
      <c r="X104"/>
      <c r="Y104"/>
      <c r="Z104"/>
      <c r="AA104"/>
      <c r="AB104"/>
    </row>
    <row r="105" spans="1:28" s="9" customFormat="1" ht="20" customHeight="1">
      <c r="A105"/>
      <c r="B105"/>
      <c r="C105"/>
      <c r="D105" s="14" t="str" cm="1">
        <f t="array" ref="D105">IF(ISBLANK($A105),"",_xlfn._xlws.FILTER(Score_Sheet!$AA:$AI,(Score_Sheet!$L:$L=Class_Wise!$B$1)*(Score_Sheet!$A:$A=Class_Wise!$A105),"NA"))</f>
        <v/>
      </c>
      <c r="E105" s="14"/>
      <c r="F105" s="14"/>
      <c r="G105" s="14"/>
      <c r="H105" s="14"/>
      <c r="I105" s="14"/>
      <c r="J105" s="14"/>
      <c r="K105" s="14"/>
      <c r="L105" s="14"/>
      <c r="M105" s="11" t="str" cm="1">
        <f t="array" ref="M105">IF(ISBLANK($A105),"",_xlfn._xlws.FILTER(Score_Sheet!$F:$K,(Score_Sheet!$L:$L=Class_Wise!$B$1)*(Score_Sheet!$A:$A=Class_Wise!$A105),"NA"))</f>
        <v/>
      </c>
      <c r="N105" s="11"/>
      <c r="O105" s="11"/>
      <c r="P105" s="11"/>
      <c r="Q105" s="11"/>
      <c r="R105" s="10"/>
      <c r="S105"/>
      <c r="T105"/>
      <c r="U105"/>
      <c r="V105"/>
      <c r="W105"/>
      <c r="X105"/>
      <c r="Y105"/>
      <c r="Z105"/>
      <c r="AA105"/>
      <c r="AB105"/>
    </row>
    <row r="106" spans="1:28" s="9" customFormat="1" ht="20" customHeight="1">
      <c r="A106"/>
      <c r="B106"/>
      <c r="C106"/>
      <c r="D106" s="14" t="str" cm="1">
        <f t="array" ref="D106">IF(ISBLANK($A106),"",_xlfn._xlws.FILTER(Score_Sheet!$AA:$AI,(Score_Sheet!$L:$L=Class_Wise!$B$1)*(Score_Sheet!$A:$A=Class_Wise!$A106),"NA"))</f>
        <v/>
      </c>
      <c r="E106" s="14"/>
      <c r="F106" s="14"/>
      <c r="G106" s="14"/>
      <c r="H106" s="14"/>
      <c r="I106" s="14"/>
      <c r="J106" s="14"/>
      <c r="K106" s="14"/>
      <c r="L106" s="14"/>
      <c r="M106" s="11" t="str" cm="1">
        <f t="array" ref="M106">IF(ISBLANK($A106),"",_xlfn._xlws.FILTER(Score_Sheet!$F:$K,(Score_Sheet!$L:$L=Class_Wise!$B$1)*(Score_Sheet!$A:$A=Class_Wise!$A106),"NA"))</f>
        <v/>
      </c>
      <c r="N106" s="11"/>
      <c r="O106" s="11"/>
      <c r="P106" s="11"/>
      <c r="Q106" s="11"/>
      <c r="R106" s="10"/>
      <c r="S106"/>
      <c r="T106"/>
      <c r="U106"/>
      <c r="V106"/>
      <c r="W106"/>
      <c r="X106"/>
      <c r="Y106"/>
      <c r="Z106"/>
      <c r="AA106"/>
      <c r="AB106"/>
    </row>
    <row r="107" spans="1:28" s="9" customFormat="1" ht="20" customHeight="1">
      <c r="A107"/>
      <c r="B107"/>
      <c r="C107"/>
      <c r="D107" s="14" t="str" cm="1">
        <f t="array" ref="D107">IF(ISBLANK($A107),"",_xlfn._xlws.FILTER(Score_Sheet!$AA:$AI,(Score_Sheet!$L:$L=Class_Wise!$B$1)*(Score_Sheet!$A:$A=Class_Wise!$A107),"NA"))</f>
        <v/>
      </c>
      <c r="E107" s="14"/>
      <c r="F107" s="14"/>
      <c r="G107" s="14"/>
      <c r="H107" s="14"/>
      <c r="I107" s="14"/>
      <c r="J107" s="14"/>
      <c r="K107" s="14"/>
      <c r="L107" s="14"/>
      <c r="M107" s="11" t="str" cm="1">
        <f t="array" ref="M107">IF(ISBLANK($A107),"",_xlfn._xlws.FILTER(Score_Sheet!$F:$K,(Score_Sheet!$L:$L=Class_Wise!$B$1)*(Score_Sheet!$A:$A=Class_Wise!$A107),"NA"))</f>
        <v/>
      </c>
      <c r="N107" s="11"/>
      <c r="O107" s="11"/>
      <c r="P107" s="11"/>
      <c r="Q107" s="11"/>
      <c r="R107" s="10"/>
      <c r="S107"/>
      <c r="T107"/>
      <c r="U107"/>
      <c r="V107"/>
      <c r="W107"/>
      <c r="X107"/>
      <c r="Y107"/>
      <c r="Z107"/>
      <c r="AA107"/>
      <c r="AB107"/>
    </row>
    <row r="108" spans="1:28" s="9" customFormat="1" ht="20" customHeight="1">
      <c r="A108"/>
      <c r="B108"/>
      <c r="C108"/>
      <c r="D108" s="14" t="str" cm="1">
        <f t="array" ref="D108">IF(ISBLANK($A108),"",_xlfn._xlws.FILTER(Score_Sheet!$AA:$AI,(Score_Sheet!$L:$L=Class_Wise!$B$1)*(Score_Sheet!$A:$A=Class_Wise!$A108),"NA"))</f>
        <v/>
      </c>
      <c r="E108" s="14"/>
      <c r="F108" s="14"/>
      <c r="G108" s="14"/>
      <c r="H108" s="14"/>
      <c r="I108" s="14"/>
      <c r="J108" s="14"/>
      <c r="K108" s="14"/>
      <c r="L108" s="14"/>
      <c r="M108" s="11" t="str" cm="1">
        <f t="array" ref="M108">IF(ISBLANK($A108),"",_xlfn._xlws.FILTER(Score_Sheet!$F:$K,(Score_Sheet!$L:$L=Class_Wise!$B$1)*(Score_Sheet!$A:$A=Class_Wise!$A108),"NA"))</f>
        <v/>
      </c>
      <c r="N108" s="11"/>
      <c r="O108" s="11"/>
      <c r="P108" s="11"/>
      <c r="Q108" s="11"/>
      <c r="R108" s="10"/>
      <c r="S108"/>
      <c r="T108"/>
      <c r="U108"/>
      <c r="V108"/>
      <c r="W108"/>
      <c r="X108"/>
      <c r="Y108"/>
      <c r="Z108"/>
      <c r="AA108"/>
      <c r="AB108"/>
    </row>
    <row r="109" spans="1:28" s="9" customFormat="1" ht="20" customHeight="1">
      <c r="A109"/>
      <c r="B109"/>
      <c r="C109"/>
      <c r="D109" s="14" t="str" cm="1">
        <f t="array" ref="D109">IF(ISBLANK($A109),"",_xlfn._xlws.FILTER(Score_Sheet!$AA:$AI,(Score_Sheet!$L:$L=Class_Wise!$B$1)*(Score_Sheet!$A:$A=Class_Wise!$A109),"NA"))</f>
        <v/>
      </c>
      <c r="E109" s="14"/>
      <c r="F109" s="14"/>
      <c r="G109" s="14"/>
      <c r="H109" s="14"/>
      <c r="I109" s="14"/>
      <c r="J109" s="14"/>
      <c r="K109" s="14"/>
      <c r="L109" s="14"/>
      <c r="M109" s="11" t="str" cm="1">
        <f t="array" ref="M109">IF(ISBLANK($A109),"",_xlfn._xlws.FILTER(Score_Sheet!$F:$K,(Score_Sheet!$L:$L=Class_Wise!$B$1)*(Score_Sheet!$A:$A=Class_Wise!$A109),"NA"))</f>
        <v/>
      </c>
      <c r="N109" s="11"/>
      <c r="O109" s="11"/>
      <c r="P109" s="11"/>
      <c r="Q109" s="11"/>
      <c r="R109" s="10"/>
      <c r="S109"/>
      <c r="T109"/>
      <c r="U109"/>
      <c r="V109"/>
      <c r="W109"/>
      <c r="X109"/>
      <c r="Y109"/>
      <c r="Z109"/>
      <c r="AA109"/>
      <c r="AB109"/>
    </row>
    <row r="110" spans="1:28" s="9" customFormat="1" ht="20" customHeight="1">
      <c r="A110"/>
      <c r="B110"/>
      <c r="C110"/>
      <c r="D110" s="14" t="str" cm="1">
        <f t="array" ref="D110">IF(ISBLANK($A110),"",_xlfn._xlws.FILTER(Score_Sheet!$AA:$AI,(Score_Sheet!$L:$L=Class_Wise!$B$1)*(Score_Sheet!$A:$A=Class_Wise!$A110),"NA"))</f>
        <v/>
      </c>
      <c r="E110" s="14"/>
      <c r="F110" s="14"/>
      <c r="G110" s="14"/>
      <c r="H110" s="14"/>
      <c r="I110" s="14"/>
      <c r="J110" s="14"/>
      <c r="K110" s="14"/>
      <c r="L110" s="14"/>
      <c r="M110" s="11" t="str" cm="1">
        <f t="array" ref="M110">IF(ISBLANK($A110),"",_xlfn._xlws.FILTER(Score_Sheet!$F:$K,(Score_Sheet!$L:$L=Class_Wise!$B$1)*(Score_Sheet!$A:$A=Class_Wise!$A110),"NA"))</f>
        <v/>
      </c>
      <c r="N110" s="11"/>
      <c r="O110" s="11"/>
      <c r="P110" s="11"/>
      <c r="Q110" s="11"/>
      <c r="R110" s="10"/>
      <c r="S110"/>
      <c r="T110"/>
      <c r="U110"/>
      <c r="V110"/>
      <c r="W110"/>
      <c r="X110"/>
      <c r="Y110"/>
      <c r="Z110"/>
      <c r="AA110"/>
      <c r="AB110"/>
    </row>
    <row r="111" spans="1:28" s="9" customFormat="1" ht="20" customHeight="1">
      <c r="A111"/>
      <c r="B111"/>
      <c r="C111"/>
      <c r="D111" s="14" t="str" cm="1">
        <f t="array" ref="D111">IF(ISBLANK($A111),"",_xlfn._xlws.FILTER(Score_Sheet!$AA:$AI,(Score_Sheet!$L:$L=Class_Wise!$B$1)*(Score_Sheet!$A:$A=Class_Wise!$A111),"NA"))</f>
        <v/>
      </c>
      <c r="E111" s="14"/>
      <c r="F111" s="14"/>
      <c r="G111" s="14"/>
      <c r="H111" s="14"/>
      <c r="I111" s="14"/>
      <c r="J111" s="14"/>
      <c r="K111" s="14"/>
      <c r="L111" s="14"/>
      <c r="M111" s="11" t="str" cm="1">
        <f t="array" ref="M111">IF(ISBLANK($A111),"",_xlfn._xlws.FILTER(Score_Sheet!$F:$K,(Score_Sheet!$L:$L=Class_Wise!$B$1)*(Score_Sheet!$A:$A=Class_Wise!$A111),"NA"))</f>
        <v/>
      </c>
      <c r="N111" s="11"/>
      <c r="O111" s="11"/>
      <c r="P111" s="11"/>
      <c r="Q111" s="11"/>
      <c r="R111" s="10"/>
      <c r="S111"/>
      <c r="T111"/>
      <c r="U111"/>
      <c r="V111"/>
      <c r="W111"/>
      <c r="X111"/>
      <c r="Y111"/>
      <c r="Z111"/>
      <c r="AA111"/>
      <c r="AB111"/>
    </row>
    <row r="112" spans="1:28" s="9" customFormat="1" ht="20" customHeight="1">
      <c r="A112"/>
      <c r="B112"/>
      <c r="C112"/>
      <c r="D112" s="14" t="str" cm="1">
        <f t="array" ref="D112">IF(ISBLANK($A112),"",_xlfn._xlws.FILTER(Score_Sheet!$AA:$AI,(Score_Sheet!$L:$L=Class_Wise!$B$1)*(Score_Sheet!$A:$A=Class_Wise!$A112),"NA"))</f>
        <v/>
      </c>
      <c r="E112" s="14"/>
      <c r="F112" s="14"/>
      <c r="G112" s="14"/>
      <c r="H112" s="14"/>
      <c r="I112" s="14"/>
      <c r="J112" s="14"/>
      <c r="K112" s="14"/>
      <c r="L112" s="14"/>
      <c r="M112" s="11" t="str" cm="1">
        <f t="array" ref="M112">IF(ISBLANK($A112),"",_xlfn._xlws.FILTER(Score_Sheet!$F:$K,(Score_Sheet!$L:$L=Class_Wise!$B$1)*(Score_Sheet!$A:$A=Class_Wise!$A112),"NA"))</f>
        <v/>
      </c>
      <c r="N112" s="11"/>
      <c r="O112" s="11"/>
      <c r="P112" s="11"/>
      <c r="Q112" s="11"/>
      <c r="R112" s="10"/>
      <c r="S112"/>
      <c r="T112"/>
      <c r="U112"/>
      <c r="V112"/>
      <c r="W112"/>
      <c r="X112"/>
      <c r="Y112"/>
      <c r="Z112"/>
      <c r="AA112"/>
      <c r="AB112"/>
    </row>
    <row r="113" spans="1:28" s="9" customFormat="1" ht="20" customHeight="1">
      <c r="A113"/>
      <c r="B113"/>
      <c r="C113"/>
      <c r="D113" s="14" t="str" cm="1">
        <f t="array" ref="D113">IF(ISBLANK($A113),"",_xlfn._xlws.FILTER(Score_Sheet!$AA:$AI,(Score_Sheet!$L:$L=Class_Wise!$B$1)*(Score_Sheet!$A:$A=Class_Wise!$A113),"NA"))</f>
        <v/>
      </c>
      <c r="E113" s="14"/>
      <c r="F113" s="14"/>
      <c r="G113" s="14"/>
      <c r="H113" s="14"/>
      <c r="I113" s="14"/>
      <c r="J113" s="14"/>
      <c r="K113" s="14"/>
      <c r="L113" s="14"/>
      <c r="M113" s="11" t="str" cm="1">
        <f t="array" ref="M113">IF(ISBLANK($A113),"",_xlfn._xlws.FILTER(Score_Sheet!$F:$K,(Score_Sheet!$L:$L=Class_Wise!$B$1)*(Score_Sheet!$A:$A=Class_Wise!$A113),"NA"))</f>
        <v/>
      </c>
      <c r="N113" s="11"/>
      <c r="O113" s="11"/>
      <c r="P113" s="11"/>
      <c r="Q113" s="11"/>
      <c r="R113" s="10"/>
      <c r="S113"/>
      <c r="T113"/>
      <c r="U113"/>
      <c r="V113"/>
      <c r="W113"/>
      <c r="X113"/>
      <c r="Y113"/>
      <c r="Z113"/>
      <c r="AA113"/>
      <c r="AB113"/>
    </row>
    <row r="114" spans="1:28" s="9" customFormat="1" ht="20" customHeight="1">
      <c r="A114"/>
      <c r="B114"/>
      <c r="C114"/>
      <c r="D114" s="14" t="str" cm="1">
        <f t="array" ref="D114">IF(ISBLANK($A114),"",_xlfn._xlws.FILTER(Score_Sheet!$AA:$AI,(Score_Sheet!$L:$L=Class_Wise!$B$1)*(Score_Sheet!$A:$A=Class_Wise!$A114),"NA"))</f>
        <v/>
      </c>
      <c r="E114" s="14"/>
      <c r="F114" s="14"/>
      <c r="G114" s="14"/>
      <c r="H114" s="14"/>
      <c r="I114" s="14"/>
      <c r="J114" s="14"/>
      <c r="K114" s="14"/>
      <c r="L114" s="14"/>
      <c r="M114" s="11" t="str" cm="1">
        <f t="array" ref="M114">IF(ISBLANK($A114),"",_xlfn._xlws.FILTER(Score_Sheet!$F:$K,(Score_Sheet!$L:$L=Class_Wise!$B$1)*(Score_Sheet!$A:$A=Class_Wise!$A114),"NA"))</f>
        <v/>
      </c>
      <c r="N114" s="11"/>
      <c r="O114" s="11"/>
      <c r="P114" s="11"/>
      <c r="Q114" s="11"/>
      <c r="R114" s="10"/>
      <c r="S114"/>
      <c r="T114"/>
      <c r="U114"/>
      <c r="V114"/>
      <c r="W114"/>
      <c r="X114"/>
      <c r="Y114"/>
      <c r="Z114"/>
      <c r="AA114"/>
      <c r="AB114"/>
    </row>
    <row r="115" spans="1:28" s="9" customFormat="1" ht="20" customHeight="1">
      <c r="A115"/>
      <c r="B115"/>
      <c r="C115"/>
      <c r="D115" s="14" t="str" cm="1">
        <f t="array" ref="D115">IF(ISBLANK($A115),"",_xlfn._xlws.FILTER(Score_Sheet!$AA:$AI,(Score_Sheet!$L:$L=Class_Wise!$B$1)*(Score_Sheet!$A:$A=Class_Wise!$A115),"NA"))</f>
        <v/>
      </c>
      <c r="E115" s="14"/>
      <c r="F115" s="14"/>
      <c r="G115" s="14"/>
      <c r="H115" s="14"/>
      <c r="I115" s="14"/>
      <c r="J115" s="14"/>
      <c r="K115" s="14"/>
      <c r="L115" s="14"/>
      <c r="M115" s="11" t="str" cm="1">
        <f t="array" ref="M115">IF(ISBLANK($A115),"",_xlfn._xlws.FILTER(Score_Sheet!$F:$K,(Score_Sheet!$L:$L=Class_Wise!$B$1)*(Score_Sheet!$A:$A=Class_Wise!$A115),"NA"))</f>
        <v/>
      </c>
      <c r="N115" s="11"/>
      <c r="O115" s="11"/>
      <c r="P115" s="11"/>
      <c r="Q115" s="11"/>
      <c r="R115" s="10"/>
      <c r="S115"/>
      <c r="T115"/>
      <c r="U115"/>
      <c r="V115"/>
      <c r="W115"/>
      <c r="X115"/>
      <c r="Y115"/>
      <c r="Z115"/>
      <c r="AA115"/>
      <c r="AB115"/>
    </row>
    <row r="116" spans="1:28" s="9" customFormat="1" ht="20" customHeight="1">
      <c r="A116"/>
      <c r="B116"/>
      <c r="C116"/>
      <c r="D116" s="14" t="str" cm="1">
        <f t="array" ref="D116">IF(ISBLANK($A116),"",_xlfn._xlws.FILTER(Score_Sheet!$AA:$AI,(Score_Sheet!$L:$L=Class_Wise!$B$1)*(Score_Sheet!$A:$A=Class_Wise!$A116),"NA"))</f>
        <v/>
      </c>
      <c r="E116" s="14"/>
      <c r="F116" s="14"/>
      <c r="G116" s="14"/>
      <c r="H116" s="14"/>
      <c r="I116" s="14"/>
      <c r="J116" s="14"/>
      <c r="K116" s="14"/>
      <c r="L116" s="14"/>
      <c r="M116" s="11" t="str" cm="1">
        <f t="array" ref="M116">IF(ISBLANK($A116),"",_xlfn._xlws.FILTER(Score_Sheet!$F:$K,(Score_Sheet!$L:$L=Class_Wise!$B$1)*(Score_Sheet!$A:$A=Class_Wise!$A116),"NA"))</f>
        <v/>
      </c>
      <c r="N116" s="11"/>
      <c r="O116" s="11"/>
      <c r="P116" s="11"/>
      <c r="Q116" s="11"/>
      <c r="R116" s="10"/>
      <c r="S116"/>
      <c r="T116"/>
      <c r="U116"/>
      <c r="V116"/>
      <c r="W116"/>
      <c r="X116"/>
      <c r="Y116"/>
      <c r="Z116"/>
      <c r="AA116"/>
      <c r="AB116"/>
    </row>
    <row r="117" spans="1:28" s="9" customFormat="1" ht="20" customHeight="1">
      <c r="A117"/>
      <c r="B117"/>
      <c r="C117"/>
      <c r="D117" s="14" t="str" cm="1">
        <f t="array" ref="D117">IF(ISBLANK($A117),"",_xlfn._xlws.FILTER(Score_Sheet!$AA:$AI,(Score_Sheet!$L:$L=Class_Wise!$B$1)*(Score_Sheet!$A:$A=Class_Wise!$A117),"NA"))</f>
        <v/>
      </c>
      <c r="E117" s="14"/>
      <c r="F117" s="14"/>
      <c r="G117" s="14"/>
      <c r="H117" s="14"/>
      <c r="I117" s="14"/>
      <c r="J117" s="14"/>
      <c r="K117" s="14"/>
      <c r="L117" s="14"/>
      <c r="M117" s="11" t="str" cm="1">
        <f t="array" ref="M117">IF(ISBLANK($A117),"",_xlfn._xlws.FILTER(Score_Sheet!$F:$K,(Score_Sheet!$L:$L=Class_Wise!$B$1)*(Score_Sheet!$A:$A=Class_Wise!$A117),"NA"))</f>
        <v/>
      </c>
      <c r="N117" s="11"/>
      <c r="O117" s="11"/>
      <c r="P117" s="11"/>
      <c r="Q117" s="11"/>
      <c r="R117" s="10"/>
      <c r="S117"/>
      <c r="T117"/>
      <c r="U117"/>
      <c r="V117"/>
      <c r="W117"/>
      <c r="X117"/>
      <c r="Y117"/>
      <c r="Z117"/>
      <c r="AA117"/>
      <c r="AB117"/>
    </row>
    <row r="118" spans="1:28" s="9" customFormat="1" ht="20" customHeight="1">
      <c r="A118"/>
      <c r="B118"/>
      <c r="C118"/>
      <c r="D118" s="14" t="str" cm="1">
        <f t="array" ref="D118">IF(ISBLANK($A118),"",_xlfn._xlws.FILTER(Score_Sheet!$AA:$AI,(Score_Sheet!$L:$L=Class_Wise!$B$1)*(Score_Sheet!$A:$A=Class_Wise!$A118),"NA"))</f>
        <v/>
      </c>
      <c r="E118" s="14"/>
      <c r="F118" s="14"/>
      <c r="G118" s="14"/>
      <c r="H118" s="14"/>
      <c r="I118" s="14"/>
      <c r="J118" s="14"/>
      <c r="K118" s="14"/>
      <c r="L118" s="14"/>
      <c r="M118" s="11" t="str" cm="1">
        <f t="array" ref="M118">IF(ISBLANK($A118),"",_xlfn._xlws.FILTER(Score_Sheet!$F:$K,(Score_Sheet!$L:$L=Class_Wise!$B$1)*(Score_Sheet!$A:$A=Class_Wise!$A118),"NA"))</f>
        <v/>
      </c>
      <c r="N118" s="11"/>
      <c r="O118" s="11"/>
      <c r="P118" s="11"/>
      <c r="Q118" s="11"/>
      <c r="R118" s="10"/>
      <c r="S118"/>
      <c r="T118"/>
      <c r="U118"/>
      <c r="V118"/>
      <c r="W118"/>
      <c r="X118"/>
      <c r="Y118"/>
      <c r="Z118"/>
      <c r="AA118"/>
      <c r="AB118"/>
    </row>
    <row r="119" spans="1:28" s="9" customFormat="1" ht="20" customHeight="1">
      <c r="A119"/>
      <c r="B119"/>
      <c r="C119"/>
      <c r="D119" s="14" t="str" cm="1">
        <f t="array" ref="D119">IF(ISBLANK($A119),"",_xlfn._xlws.FILTER(Score_Sheet!$AA:$AI,(Score_Sheet!$L:$L=Class_Wise!$B$1)*(Score_Sheet!$A:$A=Class_Wise!$A119),"NA"))</f>
        <v/>
      </c>
      <c r="E119" s="14"/>
      <c r="F119" s="14"/>
      <c r="G119" s="14"/>
      <c r="H119" s="14"/>
      <c r="I119" s="14"/>
      <c r="J119" s="14"/>
      <c r="K119" s="14"/>
      <c r="L119" s="14"/>
      <c r="M119" s="11" t="str" cm="1">
        <f t="array" ref="M119">IF(ISBLANK($A119),"",_xlfn._xlws.FILTER(Score_Sheet!$F:$K,(Score_Sheet!$L:$L=Class_Wise!$B$1)*(Score_Sheet!$A:$A=Class_Wise!$A119),"NA"))</f>
        <v/>
      </c>
      <c r="N119" s="11"/>
      <c r="O119" s="11"/>
      <c r="P119" s="11"/>
      <c r="Q119" s="11"/>
      <c r="R119" s="10"/>
      <c r="S119"/>
      <c r="T119"/>
      <c r="U119"/>
      <c r="V119"/>
      <c r="W119"/>
      <c r="X119"/>
      <c r="Y119"/>
      <c r="Z119"/>
      <c r="AA119"/>
      <c r="AB119"/>
    </row>
    <row r="120" spans="1:28" s="9" customFormat="1" ht="28">
      <c r="A120"/>
      <c r="B120"/>
      <c r="C120"/>
      <c r="D120" s="14" t="str" cm="1">
        <f t="array" ref="D120">IF(ISBLANK($A120),"",_xlfn._xlws.FILTER(Score_Sheet!$AA:$AI,(Score_Sheet!$L:$L=Class_Wise!$B$1)*(Score_Sheet!$A:$A=Class_Wise!$A120),"NA"))</f>
        <v/>
      </c>
      <c r="E120" s="14"/>
      <c r="F120" s="14"/>
      <c r="G120" s="14"/>
      <c r="H120" s="14"/>
      <c r="I120" s="14"/>
      <c r="J120" s="14"/>
      <c r="K120" s="14"/>
      <c r="L120" s="14"/>
      <c r="M120" s="11" t="str" cm="1">
        <f t="array" ref="M120">IF(ISBLANK($A120),"",_xlfn._xlws.FILTER(Score_Sheet!$F:$K,(Score_Sheet!$L:$L=Class_Wise!$B$1)*(Score_Sheet!$A:$A=Class_Wise!$A120),"NA"))</f>
        <v/>
      </c>
      <c r="N120" s="11"/>
      <c r="O120" s="11"/>
      <c r="P120" s="11"/>
      <c r="Q120" s="11"/>
      <c r="R120" s="10"/>
      <c r="S120"/>
      <c r="T120"/>
      <c r="U120"/>
      <c r="V120"/>
      <c r="W120"/>
      <c r="X120"/>
      <c r="Y120"/>
      <c r="Z120"/>
      <c r="AA120"/>
      <c r="AB120"/>
    </row>
    <row r="121" spans="1:28" s="9" customFormat="1" ht="28">
      <c r="A121"/>
      <c r="B121"/>
      <c r="C121"/>
      <c r="D121" s="14" t="str" cm="1">
        <f t="array" ref="D121">IF(ISBLANK($A121),"",_xlfn._xlws.FILTER(Score_Sheet!$AA:$AI,(Score_Sheet!$L:$L=Class_Wise!$B$1)*(Score_Sheet!$A:$A=Class_Wise!$A121),"NA"))</f>
        <v/>
      </c>
      <c r="E121" s="14"/>
      <c r="F121" s="14"/>
      <c r="G121" s="14"/>
      <c r="H121" s="14"/>
      <c r="I121" s="14"/>
      <c r="J121" s="14"/>
      <c r="K121" s="14"/>
      <c r="L121" s="14"/>
      <c r="M121" s="11" t="str" cm="1">
        <f t="array" ref="M121">IF(ISBLANK($A121),"",_xlfn._xlws.FILTER(Score_Sheet!$F:$K,(Score_Sheet!$L:$L=Class_Wise!$B$1)*(Score_Sheet!$A:$A=Class_Wise!$A121),"NA"))</f>
        <v/>
      </c>
      <c r="N121" s="11"/>
      <c r="O121" s="11"/>
      <c r="P121" s="11"/>
      <c r="Q121" s="11"/>
      <c r="R121" s="10"/>
      <c r="S121"/>
      <c r="T121"/>
      <c r="U121"/>
      <c r="V121"/>
      <c r="W121"/>
      <c r="X121"/>
      <c r="Y121"/>
      <c r="Z121"/>
      <c r="AA121"/>
      <c r="AB121"/>
    </row>
    <row r="122" spans="1:28" s="9" customFormat="1" ht="28">
      <c r="A122"/>
      <c r="B122"/>
      <c r="C122"/>
      <c r="D122" s="14" t="str" cm="1">
        <f t="array" ref="D122">IF(ISBLANK($A122),"",_xlfn._xlws.FILTER(Score_Sheet!$AA:$AI,(Score_Sheet!$L:$L=Class_Wise!$B$1)*(Score_Sheet!$A:$A=Class_Wise!$A122),"NA"))</f>
        <v/>
      </c>
      <c r="E122" s="14"/>
      <c r="F122" s="14"/>
      <c r="G122" s="14"/>
      <c r="H122" s="14"/>
      <c r="I122" s="14"/>
      <c r="J122" s="14"/>
      <c r="K122" s="14"/>
      <c r="L122" s="14"/>
      <c r="M122" s="11" t="str" cm="1">
        <f t="array" ref="M122">IF(ISBLANK($A122),"",_xlfn._xlws.FILTER(Score_Sheet!$F:$K,(Score_Sheet!$L:$L=Class_Wise!$B$1)*(Score_Sheet!$A:$A=Class_Wise!$A122),"NA"))</f>
        <v/>
      </c>
      <c r="N122" s="11"/>
      <c r="O122" s="11"/>
      <c r="P122" s="11"/>
      <c r="Q122" s="11"/>
      <c r="R122" s="10"/>
      <c r="S122"/>
      <c r="T122"/>
      <c r="U122"/>
      <c r="V122"/>
      <c r="W122"/>
      <c r="X122"/>
      <c r="Y122"/>
      <c r="Z122"/>
      <c r="AA122"/>
      <c r="AB122"/>
    </row>
    <row r="123" spans="1:28" s="9" customFormat="1" ht="28">
      <c r="A123"/>
      <c r="B123"/>
      <c r="C123"/>
      <c r="D123" s="14" t="str" cm="1">
        <f t="array" ref="D123">IF(ISBLANK($A123),"",_xlfn._xlws.FILTER(Score_Sheet!$AA:$AI,(Score_Sheet!$L:$L=Class_Wise!$B$1)*(Score_Sheet!$A:$A=Class_Wise!$A123),"NA"))</f>
        <v/>
      </c>
      <c r="E123" s="14"/>
      <c r="F123" s="14"/>
      <c r="G123" s="14"/>
      <c r="H123" s="14"/>
      <c r="I123" s="14"/>
      <c r="J123" s="14"/>
      <c r="K123" s="14"/>
      <c r="L123" s="14"/>
      <c r="M123" s="11" t="str" cm="1">
        <f t="array" ref="M123">IF(ISBLANK($A123),"",_xlfn._xlws.FILTER(Score_Sheet!$F:$K,(Score_Sheet!$L:$L=Class_Wise!$B$1)*(Score_Sheet!$A:$A=Class_Wise!$A123),"NA"))</f>
        <v/>
      </c>
      <c r="N123" s="11"/>
      <c r="O123" s="11"/>
      <c r="P123" s="11"/>
      <c r="Q123" s="11"/>
      <c r="R123" s="10"/>
      <c r="S123"/>
      <c r="T123"/>
      <c r="U123"/>
      <c r="V123"/>
      <c r="W123"/>
      <c r="X123"/>
      <c r="Y123"/>
      <c r="Z123"/>
      <c r="AA123"/>
      <c r="AB123"/>
    </row>
    <row r="124" spans="1:28" s="9" customFormat="1" ht="28">
      <c r="A124"/>
      <c r="B124"/>
      <c r="C124"/>
      <c r="D124" s="14" t="str" cm="1">
        <f t="array" ref="D124">IF(ISBLANK($A124),"",_xlfn._xlws.FILTER(Score_Sheet!$AA:$AI,(Score_Sheet!$L:$L=Class_Wise!$B$1)*(Score_Sheet!$A:$A=Class_Wise!$A124),"NA"))</f>
        <v/>
      </c>
      <c r="E124" s="14"/>
      <c r="F124" s="14"/>
      <c r="G124" s="14"/>
      <c r="H124" s="14"/>
      <c r="I124" s="14"/>
      <c r="J124" s="14"/>
      <c r="K124" s="14"/>
      <c r="L124" s="14"/>
      <c r="M124" s="11" t="str" cm="1">
        <f t="array" ref="M124">IF(ISBLANK($A124),"",_xlfn._xlws.FILTER(Score_Sheet!$F:$K,(Score_Sheet!$L:$L=Class_Wise!$B$1)*(Score_Sheet!$A:$A=Class_Wise!$A124),"NA"))</f>
        <v/>
      </c>
      <c r="N124" s="11"/>
      <c r="O124" s="11"/>
      <c r="P124" s="11"/>
      <c r="Q124" s="11"/>
      <c r="R124" s="10"/>
      <c r="S124"/>
      <c r="T124"/>
      <c r="U124"/>
      <c r="V124"/>
      <c r="W124"/>
      <c r="X124"/>
      <c r="Y124"/>
      <c r="Z124"/>
      <c r="AA124"/>
      <c r="AB124"/>
    </row>
    <row r="125" spans="1:28" s="9" customFormat="1" ht="28">
      <c r="A125"/>
      <c r="B125"/>
      <c r="C125"/>
      <c r="D125" s="14" t="str" cm="1">
        <f t="array" ref="D125">IF(ISBLANK($A125),"",_xlfn._xlws.FILTER(Score_Sheet!$AA:$AI,(Score_Sheet!$L:$L=Class_Wise!$B$1)*(Score_Sheet!$A:$A=Class_Wise!$A125),"NA"))</f>
        <v/>
      </c>
      <c r="E125" s="14"/>
      <c r="F125" s="14"/>
      <c r="G125" s="14"/>
      <c r="H125" s="14"/>
      <c r="I125" s="14"/>
      <c r="J125" s="14"/>
      <c r="K125" s="14"/>
      <c r="L125" s="14"/>
      <c r="M125" s="11" t="str" cm="1">
        <f t="array" ref="M125">IF(ISBLANK($A125),"",_xlfn._xlws.FILTER(Score_Sheet!$F:$K,(Score_Sheet!$L:$L=Class_Wise!$B$1)*(Score_Sheet!$A:$A=Class_Wise!$A125),"NA"))</f>
        <v/>
      </c>
      <c r="N125" s="11"/>
      <c r="O125" s="11"/>
      <c r="P125" s="11"/>
      <c r="Q125" s="11"/>
      <c r="R125" s="10"/>
      <c r="S125"/>
      <c r="T125"/>
      <c r="U125"/>
      <c r="V125"/>
      <c r="W125"/>
      <c r="X125"/>
      <c r="Y125"/>
      <c r="Z125"/>
      <c r="AA125"/>
      <c r="AB125"/>
    </row>
    <row r="126" spans="1:28" s="9" customFormat="1" ht="28">
      <c r="A126"/>
      <c r="B126"/>
      <c r="C126"/>
      <c r="D126" s="14" t="str" cm="1">
        <f t="array" ref="D126">IF(ISBLANK($A126),"",_xlfn._xlws.FILTER(Score_Sheet!$AA:$AI,(Score_Sheet!$L:$L=Class_Wise!$B$1)*(Score_Sheet!$A:$A=Class_Wise!$A126),"NA"))</f>
        <v/>
      </c>
      <c r="E126" s="14"/>
      <c r="F126" s="14"/>
      <c r="G126" s="14"/>
      <c r="H126" s="14"/>
      <c r="I126" s="14"/>
      <c r="J126" s="14"/>
      <c r="K126" s="14"/>
      <c r="L126" s="14"/>
      <c r="M126" s="11" t="str" cm="1">
        <f t="array" ref="M126">IF(ISBLANK($A126),"",_xlfn._xlws.FILTER(Score_Sheet!$F:$K,(Score_Sheet!$L:$L=Class_Wise!$B$1)*(Score_Sheet!$A:$A=Class_Wise!$A126),"NA"))</f>
        <v/>
      </c>
      <c r="N126" s="11"/>
      <c r="O126" s="11"/>
      <c r="P126" s="11"/>
      <c r="Q126" s="11"/>
      <c r="R126" s="10"/>
      <c r="S126"/>
      <c r="T126"/>
      <c r="U126"/>
      <c r="V126"/>
      <c r="W126"/>
      <c r="X126"/>
      <c r="Y126"/>
      <c r="Z126"/>
      <c r="AA126"/>
      <c r="AB126"/>
    </row>
    <row r="127" spans="1:28" s="9" customFormat="1" ht="28">
      <c r="A127"/>
      <c r="B127"/>
      <c r="C127"/>
      <c r="D127" s="14" t="str" cm="1">
        <f t="array" ref="D127">IF(ISBLANK($A127),"",_xlfn._xlws.FILTER(Score_Sheet!$AA:$AI,(Score_Sheet!$L:$L=Class_Wise!$B$1)*(Score_Sheet!$A:$A=Class_Wise!$A127),"NA"))</f>
        <v/>
      </c>
      <c r="E127" s="14"/>
      <c r="F127" s="14"/>
      <c r="G127" s="14"/>
      <c r="H127" s="14"/>
      <c r="I127" s="14"/>
      <c r="J127" s="14"/>
      <c r="K127" s="14"/>
      <c r="L127" s="14"/>
      <c r="M127" s="11" t="str" cm="1">
        <f t="array" ref="M127">IF(ISBLANK($A127),"",_xlfn._xlws.FILTER(Score_Sheet!$F:$K,(Score_Sheet!$L:$L=Class_Wise!$B$1)*(Score_Sheet!$A:$A=Class_Wise!$A127),"NA"))</f>
        <v/>
      </c>
      <c r="N127" s="11"/>
      <c r="O127" s="11"/>
      <c r="P127" s="11"/>
      <c r="Q127" s="11"/>
      <c r="R127" s="10"/>
      <c r="S127"/>
      <c r="T127"/>
      <c r="U127"/>
      <c r="V127"/>
      <c r="W127"/>
      <c r="X127"/>
      <c r="Y127"/>
      <c r="Z127"/>
      <c r="AA127"/>
      <c r="AB127"/>
    </row>
    <row r="128" spans="1:28" s="9" customFormat="1" ht="28">
      <c r="A128"/>
      <c r="B128"/>
      <c r="C128"/>
      <c r="D128" s="14" t="str" cm="1">
        <f t="array" ref="D128">IF(ISBLANK($A128),"",_xlfn._xlws.FILTER(Score_Sheet!$AA:$AI,(Score_Sheet!$L:$L=Class_Wise!$B$1)*(Score_Sheet!$A:$A=Class_Wise!$A128),"NA"))</f>
        <v/>
      </c>
      <c r="E128" s="14"/>
      <c r="F128" s="14"/>
      <c r="G128" s="14"/>
      <c r="H128" s="14"/>
      <c r="I128" s="14"/>
      <c r="J128" s="14"/>
      <c r="K128" s="14"/>
      <c r="L128" s="14"/>
      <c r="M128" s="11" t="str" cm="1">
        <f t="array" ref="M128">IF(ISBLANK($A128),"",_xlfn._xlws.FILTER(Score_Sheet!$F:$K,(Score_Sheet!$L:$L=Class_Wise!$B$1)*(Score_Sheet!$A:$A=Class_Wise!$A128),"NA"))</f>
        <v/>
      </c>
      <c r="N128" s="11"/>
      <c r="O128" s="11"/>
      <c r="P128" s="11"/>
      <c r="Q128" s="11"/>
      <c r="R128" s="10"/>
      <c r="S128"/>
      <c r="T128"/>
      <c r="U128"/>
      <c r="V128"/>
      <c r="W128"/>
      <c r="X128"/>
      <c r="Y128"/>
      <c r="Z128"/>
      <c r="AA128"/>
      <c r="AB128"/>
    </row>
    <row r="129" spans="1:28" s="9" customFormat="1" ht="28">
      <c r="A129"/>
      <c r="B129"/>
      <c r="C129"/>
      <c r="D129" s="14" t="str" cm="1">
        <f t="array" ref="D129">IF(ISBLANK($A129),"",_xlfn._xlws.FILTER(Score_Sheet!$AA:$AI,(Score_Sheet!$L:$L=Class_Wise!$B$1)*(Score_Sheet!$A:$A=Class_Wise!$A129),"NA"))</f>
        <v/>
      </c>
      <c r="E129" s="14"/>
      <c r="F129" s="14"/>
      <c r="G129" s="14"/>
      <c r="H129" s="14"/>
      <c r="I129" s="14"/>
      <c r="J129" s="14"/>
      <c r="K129" s="14"/>
      <c r="L129" s="14"/>
      <c r="M129" s="11" t="str" cm="1">
        <f t="array" ref="M129">IF(ISBLANK($A129),"",_xlfn._xlws.FILTER(Score_Sheet!$F:$K,(Score_Sheet!$L:$L=Class_Wise!$B$1)*(Score_Sheet!$A:$A=Class_Wise!$A129),"NA"))</f>
        <v/>
      </c>
      <c r="N129" s="11"/>
      <c r="O129" s="11"/>
      <c r="P129" s="11"/>
      <c r="Q129" s="11"/>
      <c r="R129" s="10"/>
      <c r="S129"/>
      <c r="T129"/>
      <c r="U129"/>
      <c r="V129"/>
      <c r="W129"/>
      <c r="X129"/>
      <c r="Y129"/>
      <c r="Z129"/>
      <c r="AA129"/>
      <c r="AB129"/>
    </row>
    <row r="130" spans="1:28" s="9" customFormat="1" ht="28">
      <c r="A130"/>
      <c r="B130"/>
      <c r="C130"/>
      <c r="D130" s="14" t="str" cm="1">
        <f t="array" ref="D130">IF(ISBLANK($A130),"",_xlfn._xlws.FILTER(Score_Sheet!$AA:$AI,(Score_Sheet!$L:$L=Class_Wise!$B$1)*(Score_Sheet!$A:$A=Class_Wise!$A130),"NA"))</f>
        <v/>
      </c>
      <c r="E130" s="14"/>
      <c r="F130" s="14"/>
      <c r="G130" s="14"/>
      <c r="H130" s="14"/>
      <c r="I130" s="14"/>
      <c r="J130" s="14"/>
      <c r="K130" s="14"/>
      <c r="L130" s="14"/>
      <c r="M130" s="11" t="str" cm="1">
        <f t="array" ref="M130">IF(ISBLANK($A130),"",_xlfn._xlws.FILTER(Score_Sheet!$F:$K,(Score_Sheet!$L:$L=Class_Wise!$B$1)*(Score_Sheet!$A:$A=Class_Wise!$A130),"NA"))</f>
        <v/>
      </c>
      <c r="N130" s="11"/>
      <c r="O130" s="11"/>
      <c r="P130" s="11"/>
      <c r="Q130" s="11"/>
      <c r="R130" s="10"/>
      <c r="S130"/>
      <c r="T130"/>
      <c r="U130"/>
      <c r="V130"/>
      <c r="W130"/>
      <c r="X130"/>
      <c r="Y130"/>
      <c r="Z130"/>
      <c r="AA130"/>
      <c r="AB130"/>
    </row>
    <row r="131" spans="1:28" s="9" customFormat="1" ht="28">
      <c r="A131"/>
      <c r="B131"/>
      <c r="C131"/>
      <c r="D131" s="14" t="str" cm="1">
        <f t="array" ref="D131">IF(ISBLANK($A131),"",_xlfn._xlws.FILTER(Score_Sheet!$AA:$AI,(Score_Sheet!$L:$L=Class_Wise!$B$1)*(Score_Sheet!$A:$A=Class_Wise!$A131),"NA"))</f>
        <v/>
      </c>
      <c r="E131" s="14"/>
      <c r="F131" s="14"/>
      <c r="G131" s="14"/>
      <c r="H131" s="14"/>
      <c r="I131" s="14"/>
      <c r="J131" s="14"/>
      <c r="K131" s="14"/>
      <c r="L131" s="14"/>
      <c r="M131" s="11" t="str" cm="1">
        <f t="array" ref="M131">IF(ISBLANK($A131),"",_xlfn._xlws.FILTER(Score_Sheet!$F:$K,(Score_Sheet!$L:$L=Class_Wise!$B$1)*(Score_Sheet!$A:$A=Class_Wise!$A131),"NA"))</f>
        <v/>
      </c>
      <c r="N131" s="11"/>
      <c r="O131" s="11"/>
      <c r="P131" s="11"/>
      <c r="Q131" s="11"/>
      <c r="R131" s="10"/>
      <c r="S131"/>
      <c r="T131"/>
      <c r="U131"/>
      <c r="V131"/>
      <c r="W131"/>
      <c r="X131"/>
      <c r="Y131"/>
      <c r="Z131"/>
      <c r="AA131"/>
      <c r="AB131"/>
    </row>
    <row r="132" spans="1:28" s="9" customFormat="1" ht="28">
      <c r="A132"/>
      <c r="B132"/>
      <c r="C132"/>
      <c r="D132" s="14" t="str" cm="1">
        <f t="array" ref="D132">IF(ISBLANK($A132),"",_xlfn._xlws.FILTER(Score_Sheet!$AA:$AI,(Score_Sheet!$L:$L=Class_Wise!$B$1)*(Score_Sheet!$A:$A=Class_Wise!$A132),"NA"))</f>
        <v/>
      </c>
      <c r="E132" s="14"/>
      <c r="F132" s="14"/>
      <c r="G132" s="14"/>
      <c r="H132" s="14"/>
      <c r="I132" s="14"/>
      <c r="J132" s="14"/>
      <c r="K132" s="14"/>
      <c r="L132" s="14"/>
      <c r="M132" s="11" t="str" cm="1">
        <f t="array" ref="M132">IF(ISBLANK($A132),"",_xlfn._xlws.FILTER(Score_Sheet!$F:$K,(Score_Sheet!$L:$L=Class_Wise!$B$1)*(Score_Sheet!$A:$A=Class_Wise!$A132),"NA"))</f>
        <v/>
      </c>
      <c r="N132" s="11"/>
      <c r="O132" s="11"/>
      <c r="P132" s="11"/>
      <c r="Q132" s="11"/>
      <c r="R132" s="10"/>
      <c r="S132"/>
      <c r="T132"/>
      <c r="U132"/>
      <c r="V132"/>
      <c r="W132"/>
      <c r="X132"/>
      <c r="Y132"/>
      <c r="Z132"/>
      <c r="AA132"/>
      <c r="AB132"/>
    </row>
    <row r="133" spans="1:28" s="9" customFormat="1" ht="28">
      <c r="A133"/>
      <c r="B133"/>
      <c r="C133"/>
      <c r="D133" s="14" t="str" cm="1">
        <f t="array" ref="D133">IF(ISBLANK($A133),"",_xlfn._xlws.FILTER(Score_Sheet!$AA:$AI,(Score_Sheet!$L:$L=Class_Wise!$B$1)*(Score_Sheet!$A:$A=Class_Wise!$A133),"NA"))</f>
        <v/>
      </c>
      <c r="E133" s="14"/>
      <c r="F133" s="14"/>
      <c r="G133" s="14"/>
      <c r="H133" s="14"/>
      <c r="I133" s="14"/>
      <c r="J133" s="14"/>
      <c r="K133" s="14"/>
      <c r="L133" s="14"/>
      <c r="M133" s="11" t="str" cm="1">
        <f t="array" ref="M133">IF(ISBLANK($A133),"",_xlfn._xlws.FILTER(Score_Sheet!$F:$K,(Score_Sheet!$L:$L=Class_Wise!$B$1)*(Score_Sheet!$A:$A=Class_Wise!$A133),"NA"))</f>
        <v/>
      </c>
      <c r="N133" s="11"/>
      <c r="O133" s="11"/>
      <c r="P133" s="11"/>
      <c r="Q133" s="11"/>
      <c r="R133" s="10"/>
      <c r="S133"/>
      <c r="T133"/>
      <c r="U133"/>
      <c r="V133"/>
      <c r="W133"/>
      <c r="X133"/>
      <c r="Y133"/>
      <c r="Z133"/>
      <c r="AA133"/>
      <c r="AB133"/>
    </row>
    <row r="134" spans="1:28" s="9" customFormat="1" ht="28">
      <c r="A134"/>
      <c r="B134"/>
      <c r="C134"/>
      <c r="D134" s="14" t="str" cm="1">
        <f t="array" ref="D134">IF(ISBLANK($A134),"",_xlfn._xlws.FILTER(Score_Sheet!$AA:$AI,(Score_Sheet!$L:$L=Class_Wise!$B$1)*(Score_Sheet!$A:$A=Class_Wise!$A134),"NA"))</f>
        <v/>
      </c>
      <c r="E134" s="14"/>
      <c r="F134" s="14"/>
      <c r="G134" s="14"/>
      <c r="H134" s="14"/>
      <c r="I134" s="14"/>
      <c r="J134" s="14"/>
      <c r="K134" s="14"/>
      <c r="L134" s="14"/>
      <c r="M134" s="11" t="str" cm="1">
        <f t="array" ref="M134">IF(ISBLANK($A134),"",_xlfn._xlws.FILTER(Score_Sheet!$F:$K,(Score_Sheet!$L:$L=Class_Wise!$B$1)*(Score_Sheet!$A:$A=Class_Wise!$A134),"NA"))</f>
        <v/>
      </c>
      <c r="N134" s="11"/>
      <c r="O134" s="11"/>
      <c r="P134" s="11"/>
      <c r="Q134" s="11"/>
      <c r="R134" s="10"/>
      <c r="S134"/>
      <c r="T134"/>
      <c r="U134"/>
      <c r="V134"/>
      <c r="W134"/>
      <c r="X134"/>
      <c r="Y134"/>
      <c r="Z134"/>
      <c r="AA134"/>
      <c r="AB134"/>
    </row>
    <row r="135" spans="1:28" s="9" customFormat="1" ht="28">
      <c r="A135"/>
      <c r="B135"/>
      <c r="C135"/>
      <c r="D135" s="14" t="str" cm="1">
        <f t="array" ref="D135">IF(ISBLANK($A135),"",_xlfn._xlws.FILTER(Score_Sheet!$AA:$AI,(Score_Sheet!$L:$L=Class_Wise!$B$1)*(Score_Sheet!$A:$A=Class_Wise!$A135),"NA"))</f>
        <v/>
      </c>
      <c r="E135" s="14"/>
      <c r="F135" s="14"/>
      <c r="G135" s="14"/>
      <c r="H135" s="14"/>
      <c r="I135" s="14"/>
      <c r="J135" s="14"/>
      <c r="K135" s="14"/>
      <c r="L135" s="14"/>
      <c r="M135" s="11" t="str" cm="1">
        <f t="array" ref="M135">IF(ISBLANK($A135),"",_xlfn._xlws.FILTER(Score_Sheet!$F:$K,(Score_Sheet!$L:$L=Class_Wise!$B$1)*(Score_Sheet!$A:$A=Class_Wise!$A135),"NA"))</f>
        <v/>
      </c>
      <c r="N135" s="11"/>
      <c r="O135" s="11"/>
      <c r="P135" s="11"/>
      <c r="Q135" s="11"/>
      <c r="R135" s="10"/>
      <c r="S135"/>
      <c r="T135"/>
      <c r="U135"/>
      <c r="V135"/>
      <c r="W135"/>
      <c r="X135"/>
      <c r="Y135"/>
      <c r="Z135"/>
      <c r="AA135"/>
      <c r="AB135"/>
    </row>
    <row r="136" spans="1:28" s="9" customFormat="1" ht="18">
      <c r="A136"/>
      <c r="B136"/>
      <c r="C136"/>
      <c r="D136"/>
      <c r="E136"/>
      <c r="F136"/>
      <c r="G136"/>
      <c r="H136"/>
      <c r="I136"/>
      <c r="J136"/>
      <c r="K136"/>
      <c r="L136"/>
      <c r="M136" s="11" t="str" cm="1">
        <f t="array" ref="M136">IF(ISBLANK($A136),"",_xlfn._xlws.FILTER(Score_Sheet!$F:$K,(Score_Sheet!$L:$L=Class_Wise!$B$1)*(Score_Sheet!$A:$A=Class_Wise!$A136),"NA"))</f>
        <v/>
      </c>
      <c r="N136" s="11"/>
      <c r="O136" s="11"/>
      <c r="P136" s="11"/>
      <c r="Q136" s="11"/>
      <c r="R136" s="10"/>
      <c r="S136"/>
      <c r="T136"/>
      <c r="U136"/>
      <c r="V136"/>
      <c r="W136"/>
      <c r="X136"/>
      <c r="Y136"/>
      <c r="Z136"/>
      <c r="AA136"/>
      <c r="AB136"/>
    </row>
    <row r="137" spans="1:28" s="9" customFormat="1" ht="18">
      <c r="A137"/>
      <c r="B137"/>
      <c r="C137"/>
      <c r="D137"/>
      <c r="E137"/>
      <c r="F137"/>
      <c r="G137"/>
      <c r="H137"/>
      <c r="I137"/>
      <c r="J137"/>
      <c r="K137"/>
      <c r="L137"/>
      <c r="M137" s="11" t="str" cm="1">
        <f t="array" ref="M137">IF(ISBLANK($A137),"",_xlfn._xlws.FILTER(Score_Sheet!$F:$K,(Score_Sheet!$L:$L=Class_Wise!$B$1)*(Score_Sheet!$A:$A=Class_Wise!$A137),"NA"))</f>
        <v/>
      </c>
      <c r="N137" s="11"/>
      <c r="O137" s="11"/>
      <c r="P137" s="11"/>
      <c r="Q137" s="11"/>
      <c r="R137" s="10"/>
      <c r="S137"/>
      <c r="T137"/>
      <c r="U137"/>
      <c r="V137"/>
      <c r="W137"/>
      <c r="X137"/>
      <c r="Y137"/>
      <c r="Z137"/>
      <c r="AA137"/>
      <c r="AB137"/>
    </row>
    <row r="138" spans="1:28" s="9" customFormat="1" ht="18">
      <c r="A138"/>
      <c r="B138"/>
      <c r="C138"/>
      <c r="D138"/>
      <c r="E138"/>
      <c r="F138"/>
      <c r="G138"/>
      <c r="H138"/>
      <c r="I138"/>
      <c r="J138"/>
      <c r="K138"/>
      <c r="L138"/>
      <c r="M138" s="11" t="str" cm="1">
        <f t="array" ref="M138">IF(ISBLANK($A138),"",_xlfn._xlws.FILTER(Score_Sheet!$F:$K,(Score_Sheet!$L:$L=Class_Wise!$B$1)*(Score_Sheet!$A:$A=Class_Wise!$A138),"NA"))</f>
        <v/>
      </c>
      <c r="N138" s="11"/>
      <c r="O138" s="11"/>
      <c r="P138" s="11"/>
      <c r="Q138" s="11"/>
      <c r="R138" s="10"/>
      <c r="S138"/>
      <c r="T138"/>
      <c r="U138"/>
      <c r="V138"/>
      <c r="W138"/>
      <c r="X138"/>
      <c r="Y138"/>
      <c r="Z138"/>
      <c r="AA138"/>
      <c r="AB138"/>
    </row>
    <row r="139" spans="1:28" s="9" customFormat="1" ht="18">
      <c r="A139"/>
      <c r="B139"/>
      <c r="C139"/>
      <c r="D139"/>
      <c r="E139"/>
      <c r="F139"/>
      <c r="G139"/>
      <c r="H139"/>
      <c r="I139"/>
      <c r="J139"/>
      <c r="K139"/>
      <c r="L139"/>
      <c r="M139" s="11" t="str" cm="1">
        <f t="array" ref="M139">IF(ISBLANK($A139),"",_xlfn._xlws.FILTER(Score_Sheet!$F:$K,(Score_Sheet!$L:$L=Class_Wise!$B$1)*(Score_Sheet!$A:$A=Class_Wise!$A139),"NA"))</f>
        <v/>
      </c>
      <c r="N139" s="11"/>
      <c r="O139" s="11"/>
      <c r="P139" s="11"/>
      <c r="Q139" s="11"/>
      <c r="R139" s="10"/>
      <c r="S139"/>
      <c r="T139"/>
      <c r="U139"/>
      <c r="V139"/>
      <c r="W139"/>
      <c r="X139"/>
      <c r="Y139"/>
      <c r="Z139"/>
      <c r="AA139"/>
      <c r="AB139"/>
    </row>
    <row r="140" spans="1:28" s="9" customFormat="1" ht="18">
      <c r="A140"/>
      <c r="B140"/>
      <c r="C140"/>
      <c r="D140"/>
      <c r="E140"/>
      <c r="F140"/>
      <c r="G140"/>
      <c r="H140"/>
      <c r="I140"/>
      <c r="J140"/>
      <c r="K140"/>
      <c r="L140"/>
      <c r="M140" s="11" t="str" cm="1">
        <f t="array" ref="M140">IF(ISBLANK($A140),"",_xlfn._xlws.FILTER(Score_Sheet!$F:$K,(Score_Sheet!$L:$L=Class_Wise!$B$1)*(Score_Sheet!$A:$A=Class_Wise!$A140),"NA"))</f>
        <v/>
      </c>
      <c r="N140" s="11"/>
      <c r="O140" s="11"/>
      <c r="P140" s="11"/>
      <c r="Q140" s="11"/>
      <c r="R140" s="10"/>
      <c r="S140"/>
      <c r="T140"/>
      <c r="U140"/>
      <c r="V140"/>
      <c r="W140"/>
      <c r="X140"/>
      <c r="Y140"/>
      <c r="Z140"/>
      <c r="AA140"/>
      <c r="AB140"/>
    </row>
    <row r="141" spans="1:28" s="9" customFormat="1" ht="18">
      <c r="A141"/>
      <c r="B141"/>
      <c r="C141"/>
      <c r="D141"/>
      <c r="E141"/>
      <c r="F141"/>
      <c r="G141"/>
      <c r="H141"/>
      <c r="I141"/>
      <c r="J141"/>
      <c r="K141"/>
      <c r="L141"/>
      <c r="M141" s="11" t="str" cm="1">
        <f t="array" ref="M141">IF(ISBLANK($A141),"",_xlfn._xlws.FILTER(Score_Sheet!$F:$K,(Score_Sheet!$L:$L=Class_Wise!$B$1)*(Score_Sheet!$A:$A=Class_Wise!$A141),"NA"))</f>
        <v/>
      </c>
      <c r="N141" s="11"/>
      <c r="O141" s="11"/>
      <c r="P141" s="11"/>
      <c r="Q141" s="11"/>
      <c r="R141" s="10"/>
      <c r="S141"/>
      <c r="T141"/>
      <c r="U141"/>
      <c r="V141"/>
      <c r="W141"/>
      <c r="X141"/>
      <c r="Y141"/>
      <c r="Z141"/>
      <c r="AA141"/>
      <c r="AB141"/>
    </row>
    <row r="142" spans="1:28" s="9" customFormat="1" ht="18">
      <c r="A142"/>
      <c r="B142"/>
      <c r="C142"/>
      <c r="D142"/>
      <c r="E142"/>
      <c r="F142"/>
      <c r="G142"/>
      <c r="H142"/>
      <c r="I142"/>
      <c r="J142"/>
      <c r="K142"/>
      <c r="L142"/>
      <c r="M142" s="11" t="str" cm="1">
        <f t="array" ref="M142">IF(ISBLANK($A142),"",_xlfn._xlws.FILTER(Score_Sheet!$F:$K,(Score_Sheet!$L:$L=Class_Wise!$B$1)*(Score_Sheet!$A:$A=Class_Wise!$A142),"NA"))</f>
        <v/>
      </c>
      <c r="N142" s="11"/>
      <c r="O142" s="11"/>
      <c r="P142" s="11"/>
      <c r="Q142" s="11"/>
      <c r="R142" s="10"/>
      <c r="S142"/>
      <c r="T142"/>
      <c r="U142"/>
      <c r="V142"/>
      <c r="W142"/>
      <c r="X142"/>
      <c r="Y142"/>
      <c r="Z142"/>
      <c r="AA142"/>
      <c r="AB142"/>
    </row>
    <row r="143" spans="1:28" s="9" customFormat="1" ht="18">
      <c r="A143"/>
      <c r="B143"/>
      <c r="C143"/>
      <c r="D143"/>
      <c r="E143"/>
      <c r="F143"/>
      <c r="G143"/>
      <c r="H143"/>
      <c r="I143"/>
      <c r="J143"/>
      <c r="K143"/>
      <c r="L143"/>
      <c r="M143" s="11" t="str" cm="1">
        <f t="array" ref="M143">IF(ISBLANK($A143),"",_xlfn._xlws.FILTER(Score_Sheet!$F:$K,(Score_Sheet!$L:$L=Class_Wise!$B$1)*(Score_Sheet!$A:$A=Class_Wise!$A143),"NA"))</f>
        <v/>
      </c>
      <c r="N143" s="11"/>
      <c r="O143" s="11"/>
      <c r="P143" s="11"/>
      <c r="Q143" s="11"/>
      <c r="R143" s="10"/>
      <c r="S143"/>
      <c r="T143"/>
      <c r="U143"/>
      <c r="V143"/>
      <c r="W143"/>
      <c r="X143"/>
      <c r="Y143"/>
      <c r="Z143"/>
      <c r="AA143"/>
      <c r="AB143"/>
    </row>
    <row r="144" spans="1:28" s="9" customFormat="1" ht="18">
      <c r="A144"/>
      <c r="B144"/>
      <c r="C144"/>
      <c r="D144"/>
      <c r="E144"/>
      <c r="F144"/>
      <c r="G144"/>
      <c r="H144"/>
      <c r="I144"/>
      <c r="J144"/>
      <c r="K144"/>
      <c r="L144"/>
      <c r="M144" s="11" t="str" cm="1">
        <f t="array" ref="M144">IF(ISBLANK($A144),"",_xlfn._xlws.FILTER(Score_Sheet!$F:$K,(Score_Sheet!$L:$L=Class_Wise!$B$1)*(Score_Sheet!$A:$A=Class_Wise!$A144),"NA"))</f>
        <v/>
      </c>
      <c r="N144" s="11"/>
      <c r="O144" s="11"/>
      <c r="P144" s="11"/>
      <c r="Q144" s="11"/>
      <c r="R144" s="10"/>
      <c r="S144"/>
      <c r="T144"/>
      <c r="U144"/>
      <c r="V144"/>
      <c r="W144"/>
      <c r="X144"/>
      <c r="Y144"/>
      <c r="Z144"/>
      <c r="AA144"/>
      <c r="AB144"/>
    </row>
    <row r="145" spans="1:28" s="9" customFormat="1" ht="18">
      <c r="A145"/>
      <c r="B145"/>
      <c r="C145"/>
      <c r="D145"/>
      <c r="E145"/>
      <c r="F145"/>
      <c r="G145"/>
      <c r="H145"/>
      <c r="I145"/>
      <c r="J145"/>
      <c r="K145"/>
      <c r="L145"/>
      <c r="M145" s="11" t="str" cm="1">
        <f t="array" ref="M145">IF(ISBLANK($A145),"",_xlfn._xlws.FILTER(Score_Sheet!$F:$K,(Score_Sheet!$L:$L=Class_Wise!$B$1)*(Score_Sheet!$A:$A=Class_Wise!$A145),"NA"))</f>
        <v/>
      </c>
      <c r="N145" s="11"/>
      <c r="O145" s="11"/>
      <c r="P145" s="11"/>
      <c r="Q145" s="11"/>
      <c r="R145" s="10"/>
      <c r="S145"/>
      <c r="T145"/>
      <c r="U145"/>
      <c r="V145"/>
      <c r="W145"/>
      <c r="X145"/>
      <c r="Y145"/>
      <c r="Z145"/>
      <c r="AA145"/>
      <c r="AB145"/>
    </row>
    <row r="146" spans="1:28" s="9" customFormat="1" ht="18">
      <c r="A146"/>
      <c r="B146"/>
      <c r="C146"/>
      <c r="D146"/>
      <c r="E146"/>
      <c r="F146"/>
      <c r="G146"/>
      <c r="H146"/>
      <c r="I146"/>
      <c r="J146"/>
      <c r="K146"/>
      <c r="L146"/>
      <c r="M146" s="11" t="str" cm="1">
        <f t="array" ref="M146">IF(ISBLANK($A146),"",_xlfn._xlws.FILTER(Score_Sheet!$F:$K,(Score_Sheet!$L:$L=Class_Wise!$B$1)*(Score_Sheet!$A:$A=Class_Wise!$A146),"NA"))</f>
        <v/>
      </c>
      <c r="N146" s="11"/>
      <c r="O146" s="11"/>
      <c r="P146" s="11"/>
      <c r="Q146" s="11"/>
      <c r="R146" s="10"/>
      <c r="S146"/>
      <c r="T146"/>
      <c r="U146"/>
      <c r="V146"/>
      <c r="W146"/>
      <c r="X146"/>
      <c r="Y146"/>
      <c r="Z146"/>
      <c r="AA146"/>
      <c r="AB146"/>
    </row>
    <row r="147" spans="1:28" s="9" customFormat="1" ht="18">
      <c r="A147"/>
      <c r="B147"/>
      <c r="C147"/>
      <c r="D147"/>
      <c r="E147"/>
      <c r="F147"/>
      <c r="G147"/>
      <c r="H147"/>
      <c r="I147"/>
      <c r="J147"/>
      <c r="K147"/>
      <c r="L147"/>
      <c r="M147" s="11" t="str" cm="1">
        <f t="array" ref="M147">IF(ISBLANK($A147),"",_xlfn._xlws.FILTER(Score_Sheet!$F:$K,(Score_Sheet!$L:$L=Class_Wise!$B$1)*(Score_Sheet!$A:$A=Class_Wise!$A147),"NA"))</f>
        <v/>
      </c>
      <c r="N147" s="11"/>
      <c r="O147" s="11"/>
      <c r="P147" s="11"/>
      <c r="Q147" s="11"/>
      <c r="R147" s="10"/>
      <c r="S147"/>
      <c r="T147"/>
      <c r="U147"/>
      <c r="V147"/>
      <c r="W147"/>
      <c r="X147"/>
      <c r="Y147"/>
      <c r="Z147"/>
      <c r="AA147"/>
      <c r="AB147"/>
    </row>
    <row r="148" spans="1:28" s="9" customFormat="1" ht="18">
      <c r="A148"/>
      <c r="B148"/>
      <c r="C148"/>
      <c r="D148"/>
      <c r="E148"/>
      <c r="F148"/>
      <c r="G148"/>
      <c r="H148"/>
      <c r="I148"/>
      <c r="J148"/>
      <c r="K148"/>
      <c r="L148"/>
      <c r="M148" s="11" t="str" cm="1">
        <f t="array" ref="M148">IF(ISBLANK($A148),"",_xlfn._xlws.FILTER(Score_Sheet!$F:$K,(Score_Sheet!$L:$L=Class_Wise!$B$1)*(Score_Sheet!$A:$A=Class_Wise!$A148),"NA"))</f>
        <v/>
      </c>
      <c r="N148" s="11"/>
      <c r="O148" s="11"/>
      <c r="P148" s="11"/>
      <c r="Q148" s="11"/>
      <c r="R148" s="10"/>
      <c r="S148"/>
      <c r="T148"/>
      <c r="U148"/>
      <c r="V148"/>
      <c r="W148"/>
      <c r="X148"/>
      <c r="Y148"/>
      <c r="Z148"/>
      <c r="AA148"/>
      <c r="AB148"/>
    </row>
    <row r="149" spans="1:28" s="9" customFormat="1" ht="18">
      <c r="A149"/>
      <c r="B149"/>
      <c r="C149"/>
      <c r="D149"/>
      <c r="E149"/>
      <c r="F149"/>
      <c r="G149"/>
      <c r="H149"/>
      <c r="I149"/>
      <c r="J149"/>
      <c r="K149"/>
      <c r="L149"/>
      <c r="M149" s="11" t="str" cm="1">
        <f t="array" ref="M149">IF(ISBLANK($A149),"",_xlfn._xlws.FILTER(Score_Sheet!$F:$K,(Score_Sheet!$L:$L=Class_Wise!$B$1)*(Score_Sheet!$A:$A=Class_Wise!$A149),"NA"))</f>
        <v/>
      </c>
      <c r="N149" s="11"/>
      <c r="O149" s="11"/>
      <c r="P149" s="11"/>
      <c r="Q149" s="11"/>
      <c r="R149" s="10"/>
      <c r="S149"/>
      <c r="T149"/>
      <c r="U149"/>
      <c r="V149"/>
      <c r="W149"/>
      <c r="X149"/>
      <c r="Y149"/>
      <c r="Z149"/>
      <c r="AA149"/>
      <c r="AB149"/>
    </row>
    <row r="150" spans="1:28" s="9" customFormat="1" ht="18">
      <c r="A150"/>
      <c r="B150"/>
      <c r="C150"/>
      <c r="D150"/>
      <c r="E150"/>
      <c r="F150"/>
      <c r="G150"/>
      <c r="H150"/>
      <c r="I150"/>
      <c r="J150"/>
      <c r="K150"/>
      <c r="L150"/>
      <c r="M150" s="11" t="str" cm="1">
        <f t="array" ref="M150">IF(ISBLANK($A150),"",_xlfn._xlws.FILTER(Score_Sheet!$F:$K,(Score_Sheet!$L:$L=Class_Wise!$B$1)*(Score_Sheet!$A:$A=Class_Wise!$A150),"NA"))</f>
        <v/>
      </c>
      <c r="N150" s="11"/>
      <c r="O150" s="11"/>
      <c r="P150" s="11"/>
      <c r="Q150" s="11"/>
      <c r="R150" s="10"/>
      <c r="S150"/>
      <c r="T150"/>
      <c r="U150"/>
      <c r="V150"/>
      <c r="W150"/>
      <c r="X150"/>
      <c r="Y150"/>
      <c r="Z150"/>
      <c r="AA150"/>
      <c r="AB150"/>
    </row>
    <row r="151" spans="1:28" s="9" customFormat="1" ht="18">
      <c r="A151"/>
      <c r="B151"/>
      <c r="C151"/>
      <c r="D151"/>
      <c r="E151"/>
      <c r="F151"/>
      <c r="G151"/>
      <c r="H151"/>
      <c r="I151"/>
      <c r="J151"/>
      <c r="K151"/>
      <c r="L151"/>
      <c r="M151" s="11" t="str" cm="1">
        <f t="array" ref="M151">IF(ISBLANK($A151),"",_xlfn._xlws.FILTER(Score_Sheet!$F:$K,(Score_Sheet!$L:$L=Class_Wise!$B$1)*(Score_Sheet!$A:$A=Class_Wise!$A151),"NA"))</f>
        <v/>
      </c>
      <c r="N151" s="11"/>
      <c r="O151" s="11"/>
      <c r="P151" s="11"/>
      <c r="Q151" s="11"/>
      <c r="R151" s="10"/>
      <c r="S151"/>
      <c r="T151"/>
      <c r="U151"/>
      <c r="V151"/>
      <c r="W151"/>
      <c r="X151"/>
      <c r="Y151"/>
      <c r="Z151"/>
      <c r="AA151"/>
      <c r="AB151"/>
    </row>
    <row r="152" spans="1:28" s="9" customFormat="1" ht="18">
      <c r="A152"/>
      <c r="B152"/>
      <c r="C152"/>
      <c r="D152"/>
      <c r="E152"/>
      <c r="F152"/>
      <c r="G152"/>
      <c r="H152"/>
      <c r="I152"/>
      <c r="J152"/>
      <c r="K152"/>
      <c r="L152"/>
      <c r="M152" s="11" t="str" cm="1">
        <f t="array" ref="M152">IF(ISBLANK($A152),"",_xlfn._xlws.FILTER(Score_Sheet!$F:$K,(Score_Sheet!$L:$L=Class_Wise!$B$1)*(Score_Sheet!$A:$A=Class_Wise!$A152),"NA"))</f>
        <v/>
      </c>
      <c r="N152" s="11"/>
      <c r="O152" s="11"/>
      <c r="P152" s="11"/>
      <c r="Q152" s="11"/>
      <c r="R152" s="10"/>
      <c r="S152"/>
      <c r="T152"/>
      <c r="U152"/>
      <c r="V152"/>
      <c r="W152"/>
      <c r="X152"/>
      <c r="Y152"/>
      <c r="Z152"/>
      <c r="AA152"/>
      <c r="AB152"/>
    </row>
    <row r="153" spans="1:28" s="9" customFormat="1" ht="18">
      <c r="A153"/>
      <c r="B153"/>
      <c r="C153"/>
      <c r="D153"/>
      <c r="E153"/>
      <c r="F153"/>
      <c r="G153"/>
      <c r="H153"/>
      <c r="I153"/>
      <c r="J153"/>
      <c r="K153"/>
      <c r="L153"/>
      <c r="M153" s="11" t="str" cm="1">
        <f t="array" ref="M153">IF(ISBLANK($A153),"",_xlfn._xlws.FILTER(Score_Sheet!$F:$K,(Score_Sheet!$L:$L=Class_Wise!$B$1)*(Score_Sheet!$A:$A=Class_Wise!$A153),"NA"))</f>
        <v/>
      </c>
      <c r="N153" s="11"/>
      <c r="O153" s="11"/>
      <c r="P153" s="11"/>
      <c r="Q153" s="11"/>
      <c r="R153" s="10"/>
      <c r="S153"/>
      <c r="T153"/>
      <c r="U153"/>
      <c r="V153"/>
      <c r="W153"/>
      <c r="X153"/>
      <c r="Y153"/>
      <c r="Z153"/>
      <c r="AA153"/>
      <c r="AB153"/>
    </row>
    <row r="154" spans="1:28" s="9" customFormat="1" ht="18">
      <c r="A154"/>
      <c r="B154"/>
      <c r="C154"/>
      <c r="D154"/>
      <c r="E154"/>
      <c r="F154"/>
      <c r="G154"/>
      <c r="H154"/>
      <c r="I154"/>
      <c r="J154"/>
      <c r="K154"/>
      <c r="L154"/>
      <c r="M154" s="11" t="str" cm="1">
        <f t="array" ref="M154">IF(ISBLANK($A154),"",_xlfn._xlws.FILTER(Score_Sheet!$F:$K,(Score_Sheet!$L:$L=Class_Wise!$B$1)*(Score_Sheet!$A:$A=Class_Wise!$A154),"NA"))</f>
        <v/>
      </c>
      <c r="N154" s="11"/>
      <c r="O154" s="11"/>
      <c r="P154" s="11"/>
      <c r="Q154" s="11"/>
      <c r="R154" s="10"/>
      <c r="S154"/>
      <c r="T154"/>
      <c r="U154"/>
      <c r="V154"/>
      <c r="W154"/>
      <c r="X154"/>
      <c r="Y154"/>
      <c r="Z154"/>
      <c r="AA154"/>
      <c r="AB154"/>
    </row>
    <row r="155" spans="1:28" s="9" customFormat="1" ht="18">
      <c r="A155"/>
      <c r="B155"/>
      <c r="C155"/>
      <c r="D155"/>
      <c r="E155"/>
      <c r="F155"/>
      <c r="G155"/>
      <c r="H155"/>
      <c r="I155"/>
      <c r="J155"/>
      <c r="K155"/>
      <c r="L155"/>
      <c r="M155" s="11" t="str" cm="1">
        <f t="array" ref="M155">IF(ISBLANK($A155),"",_xlfn._xlws.FILTER(Score_Sheet!$F:$K,(Score_Sheet!$L:$L=Class_Wise!$B$1)*(Score_Sheet!$A:$A=Class_Wise!$A155),"NA"))</f>
        <v/>
      </c>
      <c r="N155" s="11"/>
      <c r="O155" s="11"/>
      <c r="P155" s="11"/>
      <c r="Q155" s="11"/>
      <c r="R155" s="10"/>
      <c r="S155"/>
      <c r="T155"/>
      <c r="U155"/>
      <c r="V155"/>
      <c r="W155"/>
      <c r="X155"/>
      <c r="Y155"/>
      <c r="Z155"/>
      <c r="AA155"/>
      <c r="AB155"/>
    </row>
    <row r="156" spans="1:28" s="9" customFormat="1" ht="18">
      <c r="A156"/>
      <c r="B156"/>
      <c r="C156"/>
      <c r="D156"/>
      <c r="E156"/>
      <c r="F156"/>
      <c r="G156"/>
      <c r="H156"/>
      <c r="I156"/>
      <c r="J156"/>
      <c r="K156"/>
      <c r="L156"/>
      <c r="M156" s="11" t="str" cm="1">
        <f t="array" ref="M156">IF(ISBLANK($A156),"",_xlfn._xlws.FILTER(Score_Sheet!$F:$K,(Score_Sheet!$L:$L=Class_Wise!$B$1)*(Score_Sheet!$A:$A=Class_Wise!$A156),"NA"))</f>
        <v/>
      </c>
      <c r="N156" s="11"/>
      <c r="O156" s="11"/>
      <c r="P156" s="11"/>
      <c r="Q156" s="11"/>
      <c r="R156" s="10"/>
      <c r="S156"/>
      <c r="T156"/>
      <c r="U156"/>
      <c r="V156"/>
      <c r="W156"/>
      <c r="X156"/>
      <c r="Y156"/>
      <c r="Z156"/>
      <c r="AA156"/>
      <c r="AB156"/>
    </row>
    <row r="157" spans="1:28" s="9" customFormat="1" ht="18">
      <c r="A157"/>
      <c r="B157"/>
      <c r="C157"/>
      <c r="D157"/>
      <c r="E157"/>
      <c r="F157"/>
      <c r="G157"/>
      <c r="H157"/>
      <c r="I157"/>
      <c r="J157"/>
      <c r="K157"/>
      <c r="L157"/>
      <c r="M157" s="11" t="str" cm="1">
        <f t="array" ref="M157">IF(ISBLANK($A157),"",_xlfn._xlws.FILTER(Score_Sheet!$F:$K,(Score_Sheet!$L:$L=Class_Wise!$B$1)*(Score_Sheet!$A:$A=Class_Wise!$A157),"NA"))</f>
        <v/>
      </c>
      <c r="N157" s="11"/>
      <c r="O157" s="11"/>
      <c r="P157" s="11"/>
      <c r="Q157" s="11"/>
      <c r="R157" s="10"/>
      <c r="S157"/>
      <c r="T157"/>
      <c r="U157"/>
      <c r="V157"/>
      <c r="W157"/>
      <c r="X157"/>
      <c r="Y157"/>
      <c r="Z157"/>
      <c r="AA157"/>
      <c r="AB157"/>
    </row>
    <row r="158" spans="1:28" s="9" customFormat="1" ht="18">
      <c r="A158"/>
      <c r="B158"/>
      <c r="C158"/>
      <c r="D158"/>
      <c r="E158"/>
      <c r="F158"/>
      <c r="G158"/>
      <c r="H158"/>
      <c r="I158"/>
      <c r="J158"/>
      <c r="K158"/>
      <c r="L158"/>
      <c r="M158" s="11" t="str" cm="1">
        <f t="array" ref="M158">IF(ISBLANK($A158),"",_xlfn._xlws.FILTER(Score_Sheet!$F:$K,(Score_Sheet!$L:$L=Class_Wise!$B$1)*(Score_Sheet!$A:$A=Class_Wise!$A158),"NA"))</f>
        <v/>
      </c>
      <c r="N158" s="11"/>
      <c r="O158" s="11"/>
      <c r="P158" s="11"/>
      <c r="Q158" s="11"/>
      <c r="R158" s="10"/>
      <c r="S158"/>
      <c r="T158"/>
      <c r="U158"/>
      <c r="V158"/>
      <c r="W158"/>
      <c r="X158"/>
      <c r="Y158"/>
      <c r="Z158"/>
      <c r="AA158"/>
      <c r="AB158"/>
    </row>
    <row r="159" spans="1:28" s="9" customFormat="1" ht="18">
      <c r="A159"/>
      <c r="B159"/>
      <c r="C159"/>
      <c r="D159"/>
      <c r="E159"/>
      <c r="F159"/>
      <c r="G159"/>
      <c r="H159"/>
      <c r="I159"/>
      <c r="J159"/>
      <c r="K159"/>
      <c r="L159"/>
      <c r="M159" s="11" t="str" cm="1">
        <f t="array" ref="M159">IF(ISBLANK($A159),"",_xlfn._xlws.FILTER(Score_Sheet!$F:$K,(Score_Sheet!$L:$L=Class_Wise!$B$1)*(Score_Sheet!$A:$A=Class_Wise!$A159),"NA"))</f>
        <v/>
      </c>
      <c r="N159" s="11"/>
      <c r="O159" s="11"/>
      <c r="P159" s="11"/>
      <c r="Q159" s="11"/>
      <c r="R159" s="10"/>
      <c r="S159"/>
      <c r="T159"/>
      <c r="U159"/>
      <c r="V159"/>
      <c r="W159"/>
      <c r="X159"/>
      <c r="Y159"/>
      <c r="Z159"/>
      <c r="AA159"/>
      <c r="AB159"/>
    </row>
    <row r="160" spans="1:28" s="9" customFormat="1" ht="18">
      <c r="A160"/>
      <c r="B160"/>
      <c r="C160"/>
      <c r="D160"/>
      <c r="E160"/>
      <c r="F160"/>
      <c r="G160"/>
      <c r="H160"/>
      <c r="I160"/>
      <c r="J160"/>
      <c r="K160"/>
      <c r="L160"/>
      <c r="M160" s="11" t="str" cm="1">
        <f t="array" ref="M160">IF(ISBLANK($A160),"",_xlfn._xlws.FILTER(Score_Sheet!$F:$K,(Score_Sheet!$L:$L=Class_Wise!$B$1)*(Score_Sheet!$A:$A=Class_Wise!$A160),"NA"))</f>
        <v/>
      </c>
      <c r="N160" s="11"/>
      <c r="O160" s="11"/>
      <c r="P160" s="11"/>
      <c r="Q160" s="11"/>
      <c r="R160" s="10"/>
      <c r="S160"/>
      <c r="T160"/>
      <c r="U160"/>
      <c r="V160"/>
      <c r="W160"/>
      <c r="X160"/>
      <c r="Y160"/>
      <c r="Z160"/>
      <c r="AA160"/>
      <c r="AB160"/>
    </row>
    <row r="161" spans="1:28" s="9" customFormat="1" ht="18">
      <c r="A161"/>
      <c r="B161"/>
      <c r="C161"/>
      <c r="D161"/>
      <c r="E161"/>
      <c r="F161"/>
      <c r="G161"/>
      <c r="H161"/>
      <c r="I161"/>
      <c r="J161"/>
      <c r="K161"/>
      <c r="L161"/>
      <c r="M161" s="11" t="str" cm="1">
        <f t="array" ref="M161">IF(ISBLANK($A161),"",_xlfn._xlws.FILTER(Score_Sheet!$F:$K,(Score_Sheet!$L:$L=Class_Wise!$B$1)*(Score_Sheet!$A:$A=Class_Wise!$A161),"NA"))</f>
        <v/>
      </c>
      <c r="N161" s="11"/>
      <c r="O161" s="11"/>
      <c r="P161" s="11"/>
      <c r="Q161" s="11"/>
      <c r="R161" s="10"/>
      <c r="S161"/>
      <c r="T161"/>
      <c r="U161"/>
      <c r="V161"/>
      <c r="W161"/>
      <c r="X161"/>
      <c r="Y161"/>
      <c r="Z161"/>
      <c r="AA161"/>
      <c r="AB161"/>
    </row>
    <row r="162" spans="1:28" s="9" customFormat="1" ht="18">
      <c r="A162"/>
      <c r="B162"/>
      <c r="C162"/>
      <c r="D162"/>
      <c r="E162"/>
      <c r="F162"/>
      <c r="G162"/>
      <c r="H162"/>
      <c r="I162"/>
      <c r="J162"/>
      <c r="K162"/>
      <c r="L162"/>
      <c r="M162" s="11" t="str" cm="1">
        <f t="array" ref="M162">IF(ISBLANK($A162),"",_xlfn._xlws.FILTER(Score_Sheet!$F:$K,(Score_Sheet!$L:$L=Class_Wise!$B$1)*(Score_Sheet!$A:$A=Class_Wise!$A162),"NA"))</f>
        <v/>
      </c>
      <c r="N162" s="11"/>
      <c r="O162" s="11"/>
      <c r="P162" s="11"/>
      <c r="Q162" s="11"/>
      <c r="R162" s="10"/>
      <c r="S162"/>
      <c r="T162"/>
      <c r="U162"/>
      <c r="V162"/>
      <c r="W162"/>
      <c r="X162"/>
      <c r="Y162"/>
      <c r="Z162"/>
      <c r="AA162"/>
      <c r="AB162"/>
    </row>
    <row r="163" spans="1:28" s="9" customFormat="1" ht="18">
      <c r="A163"/>
      <c r="B163"/>
      <c r="C163"/>
      <c r="D163"/>
      <c r="E163"/>
      <c r="F163"/>
      <c r="G163"/>
      <c r="H163"/>
      <c r="I163"/>
      <c r="J163"/>
      <c r="K163"/>
      <c r="L163"/>
      <c r="M163" s="11" t="str" cm="1">
        <f t="array" ref="M163">IF(ISBLANK($A163),"",_xlfn._xlws.FILTER(Score_Sheet!$F:$K,(Score_Sheet!$L:$L=Class_Wise!$B$1)*(Score_Sheet!$A:$A=Class_Wise!$A163),"NA"))</f>
        <v/>
      </c>
      <c r="N163" s="11"/>
      <c r="O163" s="11"/>
      <c r="P163" s="11"/>
      <c r="Q163" s="11"/>
      <c r="R163" s="10"/>
      <c r="S163"/>
      <c r="T163"/>
      <c r="U163"/>
      <c r="V163"/>
      <c r="W163"/>
      <c r="X163"/>
      <c r="Y163"/>
      <c r="Z163"/>
      <c r="AA163"/>
      <c r="AB163"/>
    </row>
    <row r="164" spans="1:28" s="9" customFormat="1" ht="18">
      <c r="A164"/>
      <c r="B164"/>
      <c r="C164"/>
      <c r="D164"/>
      <c r="E164"/>
      <c r="F164"/>
      <c r="G164"/>
      <c r="H164"/>
      <c r="I164"/>
      <c r="J164"/>
      <c r="K164"/>
      <c r="L164"/>
      <c r="M164" s="11" t="str" cm="1">
        <f t="array" ref="M164">IF(ISBLANK($A164),"",_xlfn._xlws.FILTER(Score_Sheet!$F:$K,(Score_Sheet!$L:$L=Class_Wise!$B$1)*(Score_Sheet!$A:$A=Class_Wise!$A164),"NA"))</f>
        <v/>
      </c>
      <c r="N164" s="11"/>
      <c r="O164" s="11"/>
      <c r="P164" s="11"/>
      <c r="Q164" s="11"/>
      <c r="R164" s="10"/>
      <c r="S164"/>
      <c r="T164"/>
      <c r="U164"/>
      <c r="V164"/>
      <c r="W164"/>
      <c r="X164"/>
      <c r="Y164"/>
      <c r="Z164"/>
      <c r="AA164"/>
      <c r="AB164"/>
    </row>
    <row r="165" spans="1:28" s="9" customFormat="1" ht="18">
      <c r="A165"/>
      <c r="B165"/>
      <c r="C165"/>
      <c r="D165"/>
      <c r="E165"/>
      <c r="F165"/>
      <c r="G165"/>
      <c r="H165"/>
      <c r="I165"/>
      <c r="J165"/>
      <c r="K165"/>
      <c r="L165"/>
      <c r="M165" s="11" t="str" cm="1">
        <f t="array" ref="M165">IF(ISBLANK($A165),"",_xlfn._xlws.FILTER(Score_Sheet!$F:$K,(Score_Sheet!$L:$L=Class_Wise!$B$1)*(Score_Sheet!$A:$A=Class_Wise!$A165),"NA"))</f>
        <v/>
      </c>
      <c r="N165" s="11"/>
      <c r="O165" s="11"/>
      <c r="P165" s="11"/>
      <c r="Q165" s="11"/>
      <c r="R165" s="10"/>
      <c r="S165"/>
      <c r="T165"/>
      <c r="U165"/>
      <c r="V165"/>
      <c r="W165"/>
      <c r="X165"/>
      <c r="Y165"/>
      <c r="Z165"/>
      <c r="AA165"/>
      <c r="AB165"/>
    </row>
    <row r="166" spans="1:28" s="9" customFormat="1" ht="18">
      <c r="A166"/>
      <c r="B166"/>
      <c r="C166"/>
      <c r="D166"/>
      <c r="E166"/>
      <c r="F166"/>
      <c r="G166"/>
      <c r="H166"/>
      <c r="I166"/>
      <c r="J166"/>
      <c r="K166"/>
      <c r="L166"/>
      <c r="M166" s="11" t="str" cm="1">
        <f t="array" ref="M166">IF(ISBLANK($A166),"",_xlfn._xlws.FILTER(Score_Sheet!$F:$K,(Score_Sheet!$L:$L=Class_Wise!$B$1)*(Score_Sheet!$A:$A=Class_Wise!$A166),"NA"))</f>
        <v/>
      </c>
      <c r="N166" s="11"/>
      <c r="O166" s="11"/>
      <c r="P166" s="11"/>
      <c r="Q166" s="11"/>
      <c r="R166" s="10"/>
      <c r="S166"/>
      <c r="T166"/>
      <c r="U166"/>
      <c r="V166"/>
      <c r="W166"/>
      <c r="X166"/>
      <c r="Y166"/>
      <c r="Z166"/>
      <c r="AA166"/>
      <c r="AB166"/>
    </row>
    <row r="167" spans="1:28" s="9" customFormat="1" ht="18">
      <c r="A167"/>
      <c r="B167"/>
      <c r="C167"/>
      <c r="D167"/>
      <c r="E167"/>
      <c r="F167"/>
      <c r="G167"/>
      <c r="H167"/>
      <c r="I167"/>
      <c r="J167"/>
      <c r="K167"/>
      <c r="L167"/>
      <c r="M167" s="11" t="str" cm="1">
        <f t="array" ref="M167">IF(ISBLANK($A167),"",_xlfn._xlws.FILTER(Score_Sheet!$F:$K,(Score_Sheet!$L:$L=Class_Wise!$B$1)*(Score_Sheet!$A:$A=Class_Wise!$A167),"NA"))</f>
        <v/>
      </c>
      <c r="N167" s="11"/>
      <c r="O167" s="11"/>
      <c r="P167" s="11"/>
      <c r="Q167" s="11"/>
      <c r="R167" s="10"/>
      <c r="S167"/>
      <c r="T167"/>
      <c r="U167"/>
      <c r="V167"/>
      <c r="W167"/>
      <c r="X167"/>
      <c r="Y167"/>
      <c r="Z167"/>
      <c r="AA167"/>
      <c r="AB167"/>
    </row>
    <row r="168" spans="1:28" s="9" customFormat="1" ht="18">
      <c r="A168"/>
      <c r="B168"/>
      <c r="C168"/>
      <c r="D168"/>
      <c r="E168"/>
      <c r="F168"/>
      <c r="G168"/>
      <c r="H168"/>
      <c r="I168"/>
      <c r="J168"/>
      <c r="K168"/>
      <c r="L168"/>
      <c r="M168" s="11" t="str" cm="1">
        <f t="array" ref="M168">IF(ISBLANK($A168),"",_xlfn._xlws.FILTER(Score_Sheet!$F:$K,(Score_Sheet!$L:$L=Class_Wise!$B$1)*(Score_Sheet!$A:$A=Class_Wise!$A168),"NA"))</f>
        <v/>
      </c>
      <c r="N168" s="11"/>
      <c r="O168" s="11"/>
      <c r="P168" s="11"/>
      <c r="Q168" s="11"/>
      <c r="R168" s="10"/>
      <c r="S168"/>
      <c r="T168"/>
      <c r="U168"/>
      <c r="V168"/>
      <c r="W168"/>
      <c r="X168"/>
      <c r="Y168"/>
      <c r="Z168"/>
      <c r="AA168"/>
      <c r="AB168"/>
    </row>
    <row r="169" spans="1:28" s="9" customFormat="1" ht="18">
      <c r="A169"/>
      <c r="B169"/>
      <c r="C169"/>
      <c r="D169"/>
      <c r="E169"/>
      <c r="F169"/>
      <c r="G169"/>
      <c r="H169"/>
      <c r="I169"/>
      <c r="J169"/>
      <c r="K169"/>
      <c r="L169"/>
      <c r="M169" s="11" t="str" cm="1">
        <f t="array" ref="M169">IF(ISBLANK($A169),"",_xlfn._xlws.FILTER(Score_Sheet!$F:$K,(Score_Sheet!$L:$L=Class_Wise!$B$1)*(Score_Sheet!$A:$A=Class_Wise!$A169),"NA"))</f>
        <v/>
      </c>
      <c r="N169" s="11"/>
      <c r="O169" s="11"/>
      <c r="P169" s="11"/>
      <c r="Q169" s="11"/>
      <c r="R169" s="10"/>
      <c r="S169"/>
      <c r="T169"/>
      <c r="U169"/>
      <c r="V169"/>
      <c r="W169"/>
      <c r="X169"/>
      <c r="Y169"/>
      <c r="Z169"/>
      <c r="AA169"/>
      <c r="AB169"/>
    </row>
    <row r="170" spans="1:28" s="9" customFormat="1" ht="18">
      <c r="A170"/>
      <c r="B170"/>
      <c r="C170"/>
      <c r="D170"/>
      <c r="E170"/>
      <c r="F170"/>
      <c r="G170"/>
      <c r="H170"/>
      <c r="I170"/>
      <c r="J170"/>
      <c r="K170"/>
      <c r="L170"/>
      <c r="M170" s="11" t="str" cm="1">
        <f t="array" ref="M170">IF(ISBLANK($A170),"",_xlfn._xlws.FILTER(Score_Sheet!$F:$K,(Score_Sheet!$L:$L=Class_Wise!$B$1)*(Score_Sheet!$A:$A=Class_Wise!$A170),"NA"))</f>
        <v/>
      </c>
      <c r="N170" s="11"/>
      <c r="O170" s="11"/>
      <c r="P170" s="11"/>
      <c r="Q170" s="11"/>
      <c r="R170" s="10"/>
      <c r="S170"/>
      <c r="T170"/>
      <c r="U170"/>
      <c r="V170"/>
      <c r="W170"/>
      <c r="X170"/>
      <c r="Y170"/>
      <c r="Z170"/>
      <c r="AA170"/>
      <c r="AB170"/>
    </row>
    <row r="171" spans="1:28" s="9" customFormat="1" ht="18">
      <c r="A171"/>
      <c r="B171"/>
      <c r="C171"/>
      <c r="D171"/>
      <c r="E171"/>
      <c r="F171"/>
      <c r="G171"/>
      <c r="H171"/>
      <c r="I171"/>
      <c r="J171"/>
      <c r="K171"/>
      <c r="L171"/>
      <c r="M171" s="11" t="str" cm="1">
        <f t="array" ref="M171">IF(ISBLANK($A171),"",_xlfn._xlws.FILTER(Score_Sheet!$F:$K,(Score_Sheet!$L:$L=Class_Wise!$B$1)*(Score_Sheet!$A:$A=Class_Wise!$A171),"NA"))</f>
        <v/>
      </c>
      <c r="N171" s="11"/>
      <c r="O171" s="11"/>
      <c r="P171" s="11"/>
      <c r="Q171" s="11"/>
      <c r="R171" s="10"/>
      <c r="S171"/>
      <c r="T171"/>
      <c r="U171"/>
      <c r="V171"/>
      <c r="W171"/>
      <c r="X171"/>
      <c r="Y171"/>
      <c r="Z171"/>
      <c r="AA171"/>
      <c r="AB171"/>
    </row>
    <row r="172" spans="1:28" s="9" customFormat="1" ht="18">
      <c r="A172"/>
      <c r="B172"/>
      <c r="C172"/>
      <c r="D172"/>
      <c r="E172"/>
      <c r="F172"/>
      <c r="G172"/>
      <c r="H172"/>
      <c r="I172"/>
      <c r="J172"/>
      <c r="K172"/>
      <c r="L172"/>
      <c r="M172" s="11" t="str" cm="1">
        <f t="array" ref="M172">IF(ISBLANK($A172),"",_xlfn._xlws.FILTER(Score_Sheet!$F:$K,(Score_Sheet!$L:$L=Class_Wise!$B$1)*(Score_Sheet!$A:$A=Class_Wise!$A172),"NA"))</f>
        <v/>
      </c>
      <c r="N172" s="11"/>
      <c r="O172" s="11"/>
      <c r="P172" s="11"/>
      <c r="Q172" s="11"/>
      <c r="R172" s="10"/>
      <c r="S172"/>
      <c r="T172"/>
      <c r="U172"/>
      <c r="V172"/>
      <c r="W172"/>
      <c r="X172"/>
      <c r="Y172"/>
      <c r="Z172"/>
      <c r="AA172"/>
      <c r="AB172"/>
    </row>
    <row r="173" spans="1:28" s="9" customFormat="1" ht="18">
      <c r="A173"/>
      <c r="B173"/>
      <c r="C173"/>
      <c r="D173"/>
      <c r="E173"/>
      <c r="F173"/>
      <c r="G173"/>
      <c r="H173"/>
      <c r="I173"/>
      <c r="J173"/>
      <c r="K173"/>
      <c r="L173"/>
      <c r="M173" s="11" t="str" cm="1">
        <f t="array" ref="M173">IF(ISBLANK($A173),"",_xlfn._xlws.FILTER(Score_Sheet!$F:$K,(Score_Sheet!$L:$L=Class_Wise!$B$1)*(Score_Sheet!$A:$A=Class_Wise!$A173),"NA"))</f>
        <v/>
      </c>
      <c r="N173" s="11"/>
      <c r="O173" s="11"/>
      <c r="P173" s="11"/>
      <c r="Q173" s="11"/>
      <c r="R173" s="10"/>
      <c r="S173"/>
      <c r="T173"/>
      <c r="U173"/>
      <c r="V173"/>
      <c r="W173"/>
      <c r="X173"/>
      <c r="Y173"/>
      <c r="Z173"/>
      <c r="AA173"/>
      <c r="AB173"/>
    </row>
    <row r="174" spans="1:28" s="9" customFormat="1" ht="18">
      <c r="A174"/>
      <c r="B174"/>
      <c r="C174"/>
      <c r="D174"/>
      <c r="E174"/>
      <c r="F174"/>
      <c r="G174"/>
      <c r="H174"/>
      <c r="I174"/>
      <c r="J174"/>
      <c r="K174"/>
      <c r="L174"/>
      <c r="M174" s="11" t="str" cm="1">
        <f t="array" ref="M174">IF(ISBLANK($A174),"",_xlfn._xlws.FILTER(Score_Sheet!$F:$K,(Score_Sheet!$L:$L=Class_Wise!$B$1)*(Score_Sheet!$A:$A=Class_Wise!$A174),"NA"))</f>
        <v/>
      </c>
      <c r="N174" s="11"/>
      <c r="O174" s="11"/>
      <c r="P174" s="11"/>
      <c r="Q174" s="11"/>
      <c r="R174" s="10"/>
      <c r="S174"/>
      <c r="T174"/>
      <c r="U174"/>
      <c r="V174"/>
      <c r="W174"/>
      <c r="X174"/>
      <c r="Y174"/>
      <c r="Z174"/>
      <c r="AA174"/>
      <c r="AB174"/>
    </row>
    <row r="175" spans="1:28" s="9" customFormat="1" ht="18">
      <c r="A175"/>
      <c r="B175"/>
      <c r="C175"/>
      <c r="D175"/>
      <c r="E175"/>
      <c r="F175"/>
      <c r="G175"/>
      <c r="H175"/>
      <c r="I175"/>
      <c r="J175"/>
      <c r="K175"/>
      <c r="L175"/>
      <c r="M175" s="11" t="str" cm="1">
        <f t="array" ref="M175">IF(ISBLANK($A175),"",_xlfn._xlws.FILTER(Score_Sheet!$F:$K,(Score_Sheet!$L:$L=Class_Wise!$B$1)*(Score_Sheet!$A:$A=Class_Wise!$A175),"NA"))</f>
        <v/>
      </c>
      <c r="N175" s="11"/>
      <c r="O175" s="11"/>
      <c r="P175" s="11"/>
      <c r="Q175" s="11"/>
      <c r="R175" s="10"/>
      <c r="S175"/>
      <c r="T175"/>
      <c r="U175"/>
      <c r="V175"/>
      <c r="W175"/>
      <c r="X175"/>
      <c r="Y175"/>
      <c r="Z175"/>
      <c r="AA175"/>
      <c r="AB175"/>
    </row>
    <row r="176" spans="1:28" s="9" customFormat="1" ht="18">
      <c r="A176"/>
      <c r="B176"/>
      <c r="C176"/>
      <c r="D176"/>
      <c r="E176"/>
      <c r="F176"/>
      <c r="G176"/>
      <c r="H176"/>
      <c r="I176"/>
      <c r="J176"/>
      <c r="K176"/>
      <c r="L176"/>
      <c r="M176" s="11" t="str" cm="1">
        <f t="array" ref="M176">IF(ISBLANK($A176),"",_xlfn._xlws.FILTER(Score_Sheet!$F:$K,(Score_Sheet!$L:$L=Class_Wise!$B$1)*(Score_Sheet!$A:$A=Class_Wise!$A176),"NA"))</f>
        <v/>
      </c>
      <c r="N176" s="11"/>
      <c r="O176" s="11"/>
      <c r="P176" s="11"/>
      <c r="Q176" s="11"/>
      <c r="R176" s="10"/>
      <c r="S176"/>
      <c r="T176"/>
      <c r="U176"/>
      <c r="V176"/>
      <c r="W176"/>
      <c r="X176"/>
      <c r="Y176"/>
      <c r="Z176"/>
      <c r="AA176"/>
      <c r="AB176"/>
    </row>
    <row r="177" spans="1:28" s="9" customFormat="1" ht="18">
      <c r="A177"/>
      <c r="B177"/>
      <c r="C177"/>
      <c r="D177"/>
      <c r="E177"/>
      <c r="F177"/>
      <c r="G177"/>
      <c r="H177"/>
      <c r="I177"/>
      <c r="J177"/>
      <c r="K177"/>
      <c r="L177"/>
      <c r="M177" s="11" t="str" cm="1">
        <f t="array" ref="M177">IF(ISBLANK($A177),"",_xlfn._xlws.FILTER(Score_Sheet!$F:$K,(Score_Sheet!$L:$L=Class_Wise!$B$1)*(Score_Sheet!$A:$A=Class_Wise!$A177),"NA"))</f>
        <v/>
      </c>
      <c r="N177" s="11"/>
      <c r="O177" s="11"/>
      <c r="P177" s="11"/>
      <c r="Q177" s="11"/>
      <c r="R177" s="10"/>
      <c r="S177"/>
      <c r="T177"/>
      <c r="U177"/>
      <c r="V177"/>
      <c r="W177"/>
      <c r="X177"/>
      <c r="Y177"/>
      <c r="Z177"/>
      <c r="AA177"/>
      <c r="AB177"/>
    </row>
    <row r="178" spans="1:28" s="9" customFormat="1" ht="18">
      <c r="A178"/>
      <c r="B178"/>
      <c r="C178"/>
      <c r="D178"/>
      <c r="E178"/>
      <c r="F178"/>
      <c r="G178"/>
      <c r="H178"/>
      <c r="I178"/>
      <c r="J178"/>
      <c r="K178"/>
      <c r="L178"/>
      <c r="M178" s="11" t="str" cm="1">
        <f t="array" ref="M178">IF(ISBLANK($A178),"",_xlfn._xlws.FILTER(Score_Sheet!$F:$K,(Score_Sheet!$L:$L=Class_Wise!$B$1)*(Score_Sheet!$A:$A=Class_Wise!$A178),"NA"))</f>
        <v/>
      </c>
      <c r="N178" s="11"/>
      <c r="O178" s="11"/>
      <c r="P178" s="11"/>
      <c r="Q178" s="11"/>
      <c r="R178" s="10"/>
      <c r="S178"/>
      <c r="T178"/>
      <c r="U178"/>
      <c r="V178"/>
      <c r="W178"/>
      <c r="X178"/>
      <c r="Y178"/>
      <c r="Z178"/>
      <c r="AA178"/>
      <c r="AB178"/>
    </row>
    <row r="179" spans="1:28" s="9" customFormat="1" ht="18">
      <c r="A179"/>
      <c r="B179"/>
      <c r="C179"/>
      <c r="D179"/>
      <c r="E179"/>
      <c r="F179"/>
      <c r="G179"/>
      <c r="H179"/>
      <c r="I179"/>
      <c r="J179"/>
      <c r="K179"/>
      <c r="L179"/>
      <c r="M179" s="11" t="str" cm="1">
        <f t="array" ref="M179">IF(ISBLANK($A179),"",_xlfn._xlws.FILTER(Score_Sheet!$F:$K,(Score_Sheet!$L:$L=Class_Wise!$B$1)*(Score_Sheet!$A:$A=Class_Wise!$A179),"NA"))</f>
        <v/>
      </c>
      <c r="N179" s="11"/>
      <c r="O179" s="11"/>
      <c r="P179" s="11"/>
      <c r="Q179" s="11"/>
      <c r="R179" s="10"/>
      <c r="S179"/>
      <c r="T179"/>
      <c r="U179"/>
      <c r="V179"/>
      <c r="W179"/>
      <c r="X179"/>
      <c r="Y179"/>
      <c r="Z179"/>
      <c r="AA179"/>
      <c r="AB179"/>
    </row>
    <row r="180" spans="1:28" s="9" customFormat="1" ht="18">
      <c r="A180"/>
      <c r="B180"/>
      <c r="C180"/>
      <c r="D180"/>
      <c r="E180"/>
      <c r="F180"/>
      <c r="G180"/>
      <c r="H180"/>
      <c r="I180"/>
      <c r="J180"/>
      <c r="K180"/>
      <c r="L180"/>
      <c r="M180" s="11" t="str" cm="1">
        <f t="array" ref="M180">IF(ISBLANK($A180),"",_xlfn._xlws.FILTER(Score_Sheet!$F:$K,(Score_Sheet!$L:$L=Class_Wise!$B$1)*(Score_Sheet!$A:$A=Class_Wise!$A180),"NA"))</f>
        <v/>
      </c>
      <c r="N180" s="11"/>
      <c r="O180" s="11"/>
      <c r="P180" s="11"/>
      <c r="Q180" s="11"/>
      <c r="R180" s="10"/>
      <c r="S180"/>
      <c r="T180"/>
      <c r="U180"/>
      <c r="V180"/>
      <c r="W180"/>
      <c r="X180"/>
      <c r="Y180"/>
      <c r="Z180"/>
      <c r="AA180"/>
      <c r="AB180"/>
    </row>
    <row r="181" spans="1:28" s="9" customFormat="1" ht="18">
      <c r="A181"/>
      <c r="B181"/>
      <c r="C181"/>
      <c r="D181"/>
      <c r="E181"/>
      <c r="F181"/>
      <c r="G181"/>
      <c r="H181"/>
      <c r="I181"/>
      <c r="J181"/>
      <c r="K181"/>
      <c r="L181"/>
      <c r="M181" s="11" t="str" cm="1">
        <f t="array" ref="M181">IF(ISBLANK($A181),"",_xlfn._xlws.FILTER(Score_Sheet!$F:$K,(Score_Sheet!$L:$L=Class_Wise!$B$1)*(Score_Sheet!$A:$A=Class_Wise!$A181),"NA"))</f>
        <v/>
      </c>
      <c r="N181" s="11"/>
      <c r="O181" s="11"/>
      <c r="P181" s="11"/>
      <c r="Q181" s="11"/>
      <c r="R181" s="10"/>
      <c r="S181"/>
      <c r="T181"/>
      <c r="U181"/>
      <c r="V181"/>
      <c r="W181"/>
      <c r="X181"/>
      <c r="Y181"/>
      <c r="Z181"/>
      <c r="AA181"/>
      <c r="AB181"/>
    </row>
    <row r="182" spans="1:28" s="9" customFormat="1" ht="18">
      <c r="A182"/>
      <c r="B182"/>
      <c r="C182"/>
      <c r="D182"/>
      <c r="E182"/>
      <c r="F182"/>
      <c r="G182"/>
      <c r="H182"/>
      <c r="I182"/>
      <c r="J182"/>
      <c r="K182"/>
      <c r="L182"/>
      <c r="M182" s="11" t="str" cm="1">
        <f t="array" ref="M182">IF(ISBLANK($A182),"",_xlfn._xlws.FILTER(Score_Sheet!$F:$K,(Score_Sheet!$L:$L=Class_Wise!$B$1)*(Score_Sheet!$A:$A=Class_Wise!$A182),"NA"))</f>
        <v/>
      </c>
      <c r="N182" s="11"/>
      <c r="O182" s="11"/>
      <c r="P182" s="11"/>
      <c r="Q182" s="11"/>
      <c r="R182" s="10"/>
      <c r="S182"/>
      <c r="T182"/>
      <c r="U182"/>
      <c r="V182"/>
      <c r="W182"/>
      <c r="X182"/>
      <c r="Y182"/>
      <c r="Z182"/>
      <c r="AA182"/>
      <c r="AB182"/>
    </row>
    <row r="183" spans="1:28" s="9" customFormat="1" ht="18">
      <c r="A183"/>
      <c r="B183"/>
      <c r="C183"/>
      <c r="D183"/>
      <c r="E183"/>
      <c r="F183"/>
      <c r="G183"/>
      <c r="H183"/>
      <c r="I183"/>
      <c r="J183"/>
      <c r="K183"/>
      <c r="L183"/>
      <c r="M183" s="11" t="str" cm="1">
        <f t="array" ref="M183">IF(ISBLANK($A183),"",_xlfn._xlws.FILTER(Score_Sheet!$F:$K,(Score_Sheet!$L:$L=Class_Wise!$B$1)*(Score_Sheet!$A:$A=Class_Wise!$A183),"NA"))</f>
        <v/>
      </c>
      <c r="N183" s="11"/>
      <c r="O183" s="11"/>
      <c r="P183" s="11"/>
      <c r="Q183" s="11"/>
      <c r="R183" s="10"/>
      <c r="S183"/>
      <c r="T183"/>
      <c r="U183"/>
      <c r="V183"/>
      <c r="W183"/>
      <c r="X183"/>
      <c r="Y183"/>
      <c r="Z183"/>
      <c r="AA183"/>
      <c r="AB183"/>
    </row>
    <row r="184" spans="1:28" s="9" customFormat="1" ht="18">
      <c r="A184"/>
      <c r="B184"/>
      <c r="C184"/>
      <c r="D184"/>
      <c r="E184"/>
      <c r="F184"/>
      <c r="G184"/>
      <c r="H184"/>
      <c r="I184"/>
      <c r="J184"/>
      <c r="K184"/>
      <c r="L184"/>
      <c r="M184" s="11" t="str" cm="1">
        <f t="array" ref="M184">IF(ISBLANK($A184),"",_xlfn._xlws.FILTER(Score_Sheet!$F:$K,(Score_Sheet!$L:$L=Class_Wise!$B$1)*(Score_Sheet!$A:$A=Class_Wise!$A184),"NA"))</f>
        <v/>
      </c>
      <c r="N184" s="11"/>
      <c r="O184" s="11"/>
      <c r="P184" s="11"/>
      <c r="Q184" s="11"/>
      <c r="R184" s="10"/>
      <c r="S184"/>
      <c r="T184"/>
      <c r="U184"/>
      <c r="V184"/>
      <c r="W184"/>
      <c r="X184"/>
      <c r="Y184"/>
      <c r="Z184"/>
      <c r="AA184"/>
      <c r="AB184"/>
    </row>
    <row r="185" spans="1:28" s="9" customFormat="1" ht="18">
      <c r="A185"/>
      <c r="B185"/>
      <c r="C185"/>
      <c r="D185"/>
      <c r="E185"/>
      <c r="F185"/>
      <c r="G185"/>
      <c r="H185"/>
      <c r="I185"/>
      <c r="J185"/>
      <c r="K185"/>
      <c r="L185"/>
      <c r="M185" s="11" t="str" cm="1">
        <f t="array" ref="M185">IF(ISBLANK($A185),"",_xlfn._xlws.FILTER(Score_Sheet!$F:$K,(Score_Sheet!$L:$L=Class_Wise!$B$1)*(Score_Sheet!$A:$A=Class_Wise!$A185),"NA"))</f>
        <v/>
      </c>
      <c r="N185" s="11"/>
      <c r="O185" s="11"/>
      <c r="P185" s="11"/>
      <c r="Q185" s="11"/>
      <c r="R185" s="10"/>
      <c r="S185"/>
      <c r="T185"/>
      <c r="U185"/>
      <c r="V185"/>
      <c r="W185"/>
      <c r="X185"/>
      <c r="Y185"/>
      <c r="Z185"/>
      <c r="AA185"/>
      <c r="AB185"/>
    </row>
    <row r="186" spans="1:28" s="9" customFormat="1" ht="18">
      <c r="A186"/>
      <c r="B186"/>
      <c r="C186"/>
      <c r="D186"/>
      <c r="E186"/>
      <c r="F186"/>
      <c r="G186"/>
      <c r="H186"/>
      <c r="I186"/>
      <c r="J186"/>
      <c r="K186"/>
      <c r="L186"/>
      <c r="M186" s="11" t="str" cm="1">
        <f t="array" ref="M186">IF(ISBLANK($A186),"",_xlfn._xlws.FILTER(Score_Sheet!$F:$K,(Score_Sheet!$L:$L=Class_Wise!$B$1)*(Score_Sheet!$A:$A=Class_Wise!$A186),"NA"))</f>
        <v/>
      </c>
      <c r="N186" s="11"/>
      <c r="O186" s="11"/>
      <c r="P186" s="11"/>
      <c r="Q186" s="11"/>
      <c r="R186" s="10"/>
      <c r="S186"/>
      <c r="T186"/>
      <c r="U186"/>
      <c r="V186"/>
      <c r="W186"/>
      <c r="X186"/>
      <c r="Y186"/>
      <c r="Z186"/>
      <c r="AA186"/>
      <c r="AB186"/>
    </row>
    <row r="187" spans="1:28" s="9" customFormat="1" ht="18">
      <c r="A187"/>
      <c r="B187"/>
      <c r="C187"/>
      <c r="D187"/>
      <c r="E187"/>
      <c r="F187"/>
      <c r="G187"/>
      <c r="H187"/>
      <c r="I187"/>
      <c r="J187"/>
      <c r="K187"/>
      <c r="L187"/>
      <c r="M187" s="11" t="str" cm="1">
        <f t="array" ref="M187">IF(ISBLANK($A187),"",_xlfn._xlws.FILTER(Score_Sheet!$F:$K,(Score_Sheet!$L:$L=Class_Wise!$B$1)*(Score_Sheet!$A:$A=Class_Wise!$A187),"NA"))</f>
        <v/>
      </c>
      <c r="N187" s="11"/>
      <c r="O187" s="11"/>
      <c r="P187" s="11"/>
      <c r="Q187" s="11"/>
      <c r="R187" s="10"/>
      <c r="S187"/>
      <c r="T187"/>
      <c r="U187"/>
      <c r="V187"/>
      <c r="W187"/>
      <c r="X187"/>
      <c r="Y187"/>
      <c r="Z187"/>
      <c r="AA187"/>
      <c r="AB187"/>
    </row>
    <row r="188" spans="1:28" s="9" customFormat="1" ht="18">
      <c r="A188"/>
      <c r="B188"/>
      <c r="C188"/>
      <c r="D188"/>
      <c r="E188"/>
      <c r="F188"/>
      <c r="G188"/>
      <c r="H188"/>
      <c r="I188"/>
      <c r="J188"/>
      <c r="K188"/>
      <c r="L188"/>
      <c r="M188" s="11" t="str" cm="1">
        <f t="array" ref="M188">IF(ISBLANK($A188),"",_xlfn._xlws.FILTER(Score_Sheet!$F:$K,(Score_Sheet!$L:$L=Class_Wise!$B$1)*(Score_Sheet!$A:$A=Class_Wise!$A188),"NA"))</f>
        <v/>
      </c>
      <c r="N188" s="11"/>
      <c r="O188" s="11"/>
      <c r="P188" s="11"/>
      <c r="Q188" s="11"/>
      <c r="R188" s="10"/>
      <c r="S188"/>
      <c r="T188"/>
      <c r="U188"/>
      <c r="V188"/>
      <c r="W188"/>
      <c r="X188"/>
      <c r="Y188"/>
      <c r="Z188"/>
      <c r="AA188"/>
      <c r="AB188"/>
    </row>
    <row r="189" spans="1:28" s="9" customFormat="1" ht="18">
      <c r="A189"/>
      <c r="B189"/>
      <c r="C189"/>
      <c r="D189"/>
      <c r="E189"/>
      <c r="F189"/>
      <c r="G189"/>
      <c r="H189"/>
      <c r="I189"/>
      <c r="J189"/>
      <c r="K189"/>
      <c r="L189"/>
      <c r="M189" s="11" t="str" cm="1">
        <f t="array" ref="M189">IF(ISBLANK($A189),"",_xlfn._xlws.FILTER(Score_Sheet!$F:$K,(Score_Sheet!$L:$L=Class_Wise!$B$1)*(Score_Sheet!$A:$A=Class_Wise!$A189),"NA"))</f>
        <v/>
      </c>
      <c r="N189" s="11"/>
      <c r="O189" s="11"/>
      <c r="P189" s="11"/>
      <c r="Q189" s="11"/>
      <c r="R189" s="10"/>
      <c r="S189"/>
      <c r="T189"/>
      <c r="U189"/>
      <c r="V189"/>
      <c r="W189"/>
      <c r="X189"/>
      <c r="Y189"/>
      <c r="Z189"/>
      <c r="AA189"/>
      <c r="AB189"/>
    </row>
    <row r="190" spans="1:28" s="9" customFormat="1" ht="18">
      <c r="A190"/>
      <c r="B190"/>
      <c r="C190"/>
      <c r="D190"/>
      <c r="E190"/>
      <c r="F190"/>
      <c r="G190"/>
      <c r="H190"/>
      <c r="I190"/>
      <c r="J190"/>
      <c r="K190"/>
      <c r="L190"/>
      <c r="M190" s="11" t="str" cm="1">
        <f t="array" ref="M190">IF(ISBLANK($A190),"",_xlfn._xlws.FILTER(Score_Sheet!$F:$K,(Score_Sheet!$L:$L=Class_Wise!$B$1)*(Score_Sheet!$A:$A=Class_Wise!$A190),"NA"))</f>
        <v/>
      </c>
      <c r="N190" s="11"/>
      <c r="O190" s="11"/>
      <c r="P190" s="11"/>
      <c r="Q190" s="11"/>
      <c r="R190" s="10"/>
      <c r="S190"/>
      <c r="T190"/>
      <c r="U190"/>
      <c r="V190"/>
      <c r="W190"/>
      <c r="X190"/>
      <c r="Y190"/>
      <c r="Z190"/>
      <c r="AA190"/>
      <c r="AB190"/>
    </row>
    <row r="191" spans="1:28" s="9" customFormat="1" ht="18">
      <c r="A191"/>
      <c r="B191"/>
      <c r="C191"/>
      <c r="D191"/>
      <c r="E191"/>
      <c r="F191"/>
      <c r="G191"/>
      <c r="H191"/>
      <c r="I191"/>
      <c r="J191"/>
      <c r="K191"/>
      <c r="L191"/>
      <c r="M191" s="11" t="str" cm="1">
        <f t="array" ref="M191">IF(ISBLANK($A191),"",_xlfn._xlws.FILTER(Score_Sheet!$F:$K,(Score_Sheet!$L:$L=Class_Wise!$B$1)*(Score_Sheet!$A:$A=Class_Wise!$A191),"NA"))</f>
        <v/>
      </c>
      <c r="N191" s="11"/>
      <c r="O191" s="11"/>
      <c r="P191" s="11"/>
      <c r="Q191" s="11"/>
      <c r="R191" s="10"/>
      <c r="S191"/>
      <c r="T191"/>
      <c r="U191"/>
      <c r="V191"/>
      <c r="W191"/>
      <c r="X191"/>
      <c r="Y191"/>
      <c r="Z191"/>
      <c r="AA191"/>
      <c r="AB191"/>
    </row>
    <row r="192" spans="1:28" s="9" customFormat="1" ht="18">
      <c r="A192"/>
      <c r="B192"/>
      <c r="C192"/>
      <c r="D192"/>
      <c r="E192"/>
      <c r="F192"/>
      <c r="G192"/>
      <c r="H192"/>
      <c r="I192"/>
      <c r="J192"/>
      <c r="K192"/>
      <c r="L192"/>
      <c r="M192" s="11" t="str" cm="1">
        <f t="array" ref="M192">IF(ISBLANK($A192),"",_xlfn._xlws.FILTER(Score_Sheet!$F:$K,(Score_Sheet!$L:$L=Class_Wise!$B$1)*(Score_Sheet!$A:$A=Class_Wise!$A192),"NA"))</f>
        <v/>
      </c>
      <c r="N192" s="11"/>
      <c r="O192" s="11"/>
      <c r="P192" s="11"/>
      <c r="Q192" s="11"/>
      <c r="R192" s="10"/>
      <c r="S192"/>
      <c r="T192"/>
      <c r="U192"/>
      <c r="V192"/>
      <c r="W192"/>
      <c r="X192"/>
      <c r="Y192"/>
      <c r="Z192"/>
      <c r="AA192"/>
      <c r="AB192"/>
    </row>
    <row r="193" spans="1:28" s="9" customFormat="1" ht="18">
      <c r="A193"/>
      <c r="B193"/>
      <c r="C193"/>
      <c r="D193"/>
      <c r="E193"/>
      <c r="F193"/>
      <c r="G193"/>
      <c r="H193"/>
      <c r="I193"/>
      <c r="J193"/>
      <c r="K193"/>
      <c r="L193"/>
      <c r="M193" s="11" t="str" cm="1">
        <f t="array" ref="M193">IF(ISBLANK($A193),"",_xlfn._xlws.FILTER(Score_Sheet!$F:$K,(Score_Sheet!$L:$L=Class_Wise!$B$1)*(Score_Sheet!$A:$A=Class_Wise!$A193),"NA"))</f>
        <v/>
      </c>
      <c r="N193" s="11"/>
      <c r="O193" s="11"/>
      <c r="P193" s="11"/>
      <c r="Q193" s="11"/>
      <c r="R193" s="10"/>
      <c r="S193"/>
      <c r="T193"/>
      <c r="U193"/>
      <c r="V193"/>
      <c r="W193"/>
      <c r="X193"/>
      <c r="Y193"/>
      <c r="Z193"/>
      <c r="AA193"/>
      <c r="AB193"/>
    </row>
    <row r="194" spans="1:28" s="9" customFormat="1" ht="18">
      <c r="A194"/>
      <c r="B194"/>
      <c r="C194"/>
      <c r="D194"/>
      <c r="E194"/>
      <c r="F194"/>
      <c r="G194"/>
      <c r="H194"/>
      <c r="I194"/>
      <c r="J194"/>
      <c r="K194"/>
      <c r="L194"/>
      <c r="M194" s="11" t="str" cm="1">
        <f t="array" ref="M194">IF(ISBLANK($A194),"",_xlfn._xlws.FILTER(Score_Sheet!$F:$K,(Score_Sheet!$L:$L=Class_Wise!$B$1)*(Score_Sheet!$A:$A=Class_Wise!$A194),"NA"))</f>
        <v/>
      </c>
      <c r="N194" s="11"/>
      <c r="O194" s="11"/>
      <c r="P194" s="11"/>
      <c r="Q194" s="11"/>
      <c r="R194" s="10"/>
      <c r="S194"/>
      <c r="T194"/>
      <c r="U194"/>
      <c r="V194"/>
      <c r="W194"/>
      <c r="X194"/>
      <c r="Y194"/>
      <c r="Z194"/>
      <c r="AA194"/>
      <c r="AB194"/>
    </row>
    <row r="195" spans="1:28" s="9" customFormat="1" ht="18">
      <c r="A195"/>
      <c r="B195"/>
      <c r="C195"/>
      <c r="D195"/>
      <c r="E195"/>
      <c r="F195"/>
      <c r="G195"/>
      <c r="H195"/>
      <c r="I195"/>
      <c r="J195"/>
      <c r="K195"/>
      <c r="L195"/>
      <c r="M195" s="11" t="str" cm="1">
        <f t="array" ref="M195">IF(ISBLANK($A195),"",_xlfn._xlws.FILTER(Score_Sheet!$F:$K,(Score_Sheet!$L:$L=Class_Wise!$B$1)*(Score_Sheet!$A:$A=Class_Wise!$A195),"NA"))</f>
        <v/>
      </c>
      <c r="N195" s="11"/>
      <c r="O195" s="11"/>
      <c r="P195" s="11"/>
      <c r="Q195" s="11"/>
      <c r="R195" s="10"/>
      <c r="S195"/>
      <c r="T195"/>
      <c r="U195"/>
      <c r="V195"/>
      <c r="W195"/>
      <c r="X195"/>
      <c r="Y195"/>
      <c r="Z195"/>
      <c r="AA195"/>
      <c r="AB195"/>
    </row>
    <row r="196" spans="1:28" s="9" customFormat="1" ht="18">
      <c r="A196"/>
      <c r="B196"/>
      <c r="C196"/>
      <c r="D196"/>
      <c r="E196"/>
      <c r="F196"/>
      <c r="G196"/>
      <c r="H196"/>
      <c r="I196"/>
      <c r="J196"/>
      <c r="K196"/>
      <c r="L196"/>
      <c r="M196" s="11" t="str" cm="1">
        <f t="array" ref="M196">IF(ISBLANK($A196),"",_xlfn._xlws.FILTER(Score_Sheet!$F:$K,(Score_Sheet!$L:$L=Class_Wise!$B$1)*(Score_Sheet!$A:$A=Class_Wise!$A196),"NA"))</f>
        <v/>
      </c>
      <c r="N196" s="11"/>
      <c r="O196" s="11"/>
      <c r="P196" s="11"/>
      <c r="Q196" s="11"/>
      <c r="R196" s="10"/>
      <c r="S196"/>
      <c r="T196"/>
      <c r="U196"/>
      <c r="V196"/>
      <c r="W196"/>
      <c r="X196"/>
      <c r="Y196"/>
      <c r="Z196"/>
      <c r="AA196"/>
      <c r="AB196"/>
    </row>
    <row r="197" spans="1:28" s="9" customFormat="1" ht="18">
      <c r="A197"/>
      <c r="B197"/>
      <c r="C197"/>
      <c r="D197"/>
      <c r="E197"/>
      <c r="F197"/>
      <c r="G197"/>
      <c r="H197"/>
      <c r="I197"/>
      <c r="J197"/>
      <c r="K197"/>
      <c r="L197"/>
      <c r="M197" s="11" t="str" cm="1">
        <f t="array" ref="M197">IF(ISBLANK($A197),"",_xlfn._xlws.FILTER(Score_Sheet!$F:$K,(Score_Sheet!$L:$L=Class_Wise!$B$1)*(Score_Sheet!$A:$A=Class_Wise!$A197),"NA"))</f>
        <v/>
      </c>
      <c r="N197" s="11"/>
      <c r="O197" s="11"/>
      <c r="P197" s="11"/>
      <c r="Q197" s="11"/>
      <c r="R197" s="10"/>
      <c r="S197"/>
      <c r="T197"/>
      <c r="U197"/>
      <c r="V197"/>
      <c r="W197"/>
      <c r="X197"/>
      <c r="Y197"/>
      <c r="Z197"/>
      <c r="AA197"/>
      <c r="AB197"/>
    </row>
    <row r="198" spans="1:28" s="9" customFormat="1" ht="18">
      <c r="A198"/>
      <c r="B198"/>
      <c r="C198"/>
      <c r="D198"/>
      <c r="E198"/>
      <c r="F198"/>
      <c r="G198"/>
      <c r="H198"/>
      <c r="I198"/>
      <c r="J198"/>
      <c r="K198"/>
      <c r="L198"/>
      <c r="M198" s="11" t="str" cm="1">
        <f t="array" ref="M198">IF(ISBLANK($A198),"",_xlfn._xlws.FILTER(Score_Sheet!$F:$K,(Score_Sheet!$L:$L=Class_Wise!$B$1)*(Score_Sheet!$A:$A=Class_Wise!$A198),"NA"))</f>
        <v/>
      </c>
      <c r="N198" s="11"/>
      <c r="O198" s="11"/>
      <c r="P198" s="11"/>
      <c r="Q198" s="11"/>
      <c r="R198" s="10"/>
      <c r="S198"/>
      <c r="T198"/>
      <c r="U198"/>
      <c r="V198"/>
      <c r="W198"/>
      <c r="X198"/>
      <c r="Y198"/>
      <c r="Z198"/>
      <c r="AA198"/>
      <c r="AB198"/>
    </row>
    <row r="199" spans="1:28" s="9" customFormat="1" ht="18">
      <c r="A199"/>
      <c r="B199"/>
      <c r="C199"/>
      <c r="D199"/>
      <c r="E199"/>
      <c r="F199"/>
      <c r="G199"/>
      <c r="H199"/>
      <c r="I199"/>
      <c r="J199"/>
      <c r="K199"/>
      <c r="L199"/>
      <c r="M199" s="11" t="str" cm="1">
        <f t="array" ref="M199">IF(ISBLANK($A199),"",_xlfn._xlws.FILTER(Score_Sheet!$F:$K,(Score_Sheet!$L:$L=Class_Wise!$B$1)*(Score_Sheet!$A:$A=Class_Wise!$A199),"NA"))</f>
        <v/>
      </c>
      <c r="N199" s="11"/>
      <c r="O199" s="11"/>
      <c r="P199" s="11"/>
      <c r="Q199" s="11"/>
      <c r="R199" s="10"/>
      <c r="S199"/>
      <c r="T199"/>
      <c r="U199"/>
      <c r="V199"/>
      <c r="W199"/>
      <c r="X199"/>
      <c r="Y199"/>
      <c r="Z199"/>
      <c r="AA199"/>
      <c r="AB199"/>
    </row>
    <row r="200" spans="1:28" s="9" customFormat="1" ht="18">
      <c r="A200"/>
      <c r="B200"/>
      <c r="C200"/>
      <c r="D200"/>
      <c r="E200"/>
      <c r="F200"/>
      <c r="G200"/>
      <c r="H200"/>
      <c r="I200"/>
      <c r="J200"/>
      <c r="K200"/>
      <c r="L200"/>
      <c r="M200" s="11" t="str" cm="1">
        <f t="array" ref="M200">IF(ISBLANK($A200),"",_xlfn._xlws.FILTER(Score_Sheet!$F:$K,(Score_Sheet!$L:$L=Class_Wise!$B$1)*(Score_Sheet!$A:$A=Class_Wise!$A200),"NA"))</f>
        <v/>
      </c>
      <c r="N200" s="11"/>
      <c r="O200" s="11"/>
      <c r="P200" s="11"/>
      <c r="Q200" s="11"/>
      <c r="R200" s="10"/>
      <c r="S200"/>
      <c r="T200"/>
      <c r="U200"/>
      <c r="V200"/>
      <c r="W200"/>
      <c r="X200"/>
      <c r="Y200"/>
      <c r="Z200"/>
      <c r="AA200"/>
      <c r="AB200"/>
    </row>
    <row r="201" spans="1:28" s="9" customFormat="1" ht="18">
      <c r="A201"/>
      <c r="B201"/>
      <c r="C201"/>
      <c r="D201"/>
      <c r="E201"/>
      <c r="F201"/>
      <c r="G201"/>
      <c r="H201"/>
      <c r="I201"/>
      <c r="J201"/>
      <c r="K201"/>
      <c r="L201"/>
      <c r="M201" s="11" t="str" cm="1">
        <f t="array" ref="M201">IF(ISBLANK($A201),"",_xlfn._xlws.FILTER(Score_Sheet!$F:$K,(Score_Sheet!$L:$L=Class_Wise!$B$1)*(Score_Sheet!$A:$A=Class_Wise!$A201),"NA"))</f>
        <v/>
      </c>
      <c r="N201" s="11"/>
      <c r="O201" s="11"/>
      <c r="P201" s="11"/>
      <c r="Q201" s="11"/>
      <c r="R201" s="10"/>
      <c r="S201"/>
      <c r="T201"/>
      <c r="U201"/>
      <c r="V201"/>
      <c r="W201"/>
      <c r="X201"/>
      <c r="Y201"/>
      <c r="Z201"/>
      <c r="AA201"/>
      <c r="AB201"/>
    </row>
    <row r="202" spans="1:28" s="9" customFormat="1" ht="18">
      <c r="A202"/>
      <c r="B202"/>
      <c r="C202"/>
      <c r="D202"/>
      <c r="E202"/>
      <c r="F202"/>
      <c r="G202"/>
      <c r="H202"/>
      <c r="I202"/>
      <c r="J202"/>
      <c r="K202"/>
      <c r="L202"/>
      <c r="M202" s="11" t="str" cm="1">
        <f t="array" ref="M202">IF(ISBLANK($A202),"",_xlfn._xlws.FILTER(Score_Sheet!$F:$K,(Score_Sheet!$L:$L=Class_Wise!$B$1)*(Score_Sheet!$A:$A=Class_Wise!$A202),"NA"))</f>
        <v/>
      </c>
      <c r="N202" s="11"/>
      <c r="O202" s="11"/>
      <c r="P202" s="11"/>
      <c r="Q202" s="11"/>
      <c r="R202" s="10"/>
      <c r="S202"/>
      <c r="T202"/>
      <c r="U202"/>
      <c r="V202"/>
      <c r="W202"/>
      <c r="X202"/>
      <c r="Y202"/>
      <c r="Z202"/>
      <c r="AA202"/>
      <c r="AB202"/>
    </row>
    <row r="203" spans="1:28" s="9" customFormat="1" ht="18">
      <c r="A203"/>
      <c r="B203"/>
      <c r="C203"/>
      <c r="D203"/>
      <c r="E203"/>
      <c r="F203"/>
      <c r="G203"/>
      <c r="H203"/>
      <c r="I203"/>
      <c r="J203"/>
      <c r="K203"/>
      <c r="L203"/>
      <c r="M203" s="11" t="str" cm="1">
        <f t="array" ref="M203">IF(ISBLANK($A203),"",_xlfn._xlws.FILTER(Score_Sheet!$F:$K,(Score_Sheet!$L:$L=Class_Wise!$B$1)*(Score_Sheet!$A:$A=Class_Wise!$A203),"NA"))</f>
        <v/>
      </c>
      <c r="N203" s="11"/>
      <c r="O203" s="11"/>
      <c r="P203" s="11"/>
      <c r="Q203" s="11"/>
      <c r="R203" s="10"/>
      <c r="S203"/>
      <c r="T203"/>
      <c r="U203"/>
      <c r="V203"/>
      <c r="W203"/>
      <c r="X203"/>
      <c r="Y203"/>
      <c r="Z203"/>
      <c r="AA203"/>
      <c r="AB203"/>
    </row>
    <row r="204" spans="1:28" s="9" customFormat="1" ht="18">
      <c r="A204"/>
      <c r="B204"/>
      <c r="C204"/>
      <c r="D204"/>
      <c r="E204"/>
      <c r="F204"/>
      <c r="G204"/>
      <c r="H204"/>
      <c r="I204"/>
      <c r="J204"/>
      <c r="K204"/>
      <c r="L204"/>
      <c r="M204" s="11" t="str" cm="1">
        <f t="array" ref="M204">IF(ISBLANK($A204),"",_xlfn._xlws.FILTER(Score_Sheet!$F:$K,(Score_Sheet!$L:$L=Class_Wise!$B$1)*(Score_Sheet!$A:$A=Class_Wise!$A204),"NA"))</f>
        <v/>
      </c>
      <c r="N204" s="11"/>
      <c r="O204" s="11"/>
      <c r="P204" s="11"/>
      <c r="Q204" s="11"/>
      <c r="R204" s="10"/>
      <c r="S204"/>
      <c r="T204"/>
      <c r="U204"/>
      <c r="V204"/>
      <c r="W204"/>
      <c r="X204"/>
      <c r="Y204"/>
      <c r="Z204"/>
      <c r="AA204"/>
      <c r="AB204"/>
    </row>
    <row r="205" spans="1:28" s="9" customFormat="1" ht="18">
      <c r="A205"/>
      <c r="B205"/>
      <c r="C205"/>
      <c r="D205"/>
      <c r="E205"/>
      <c r="F205"/>
      <c r="G205"/>
      <c r="H205"/>
      <c r="I205"/>
      <c r="J205"/>
      <c r="K205"/>
      <c r="L205"/>
      <c r="M205" s="11" t="str" cm="1">
        <f t="array" ref="M205">IF(ISBLANK($A205),"",_xlfn._xlws.FILTER(Score_Sheet!$F:$K,(Score_Sheet!$L:$L=Class_Wise!$B$1)*(Score_Sheet!$A:$A=Class_Wise!$A205),"NA"))</f>
        <v/>
      </c>
      <c r="N205" s="11"/>
      <c r="O205" s="11"/>
      <c r="P205" s="11"/>
      <c r="Q205" s="11"/>
      <c r="R205" s="10"/>
      <c r="S205"/>
      <c r="T205"/>
      <c r="U205"/>
      <c r="V205"/>
      <c r="W205"/>
      <c r="X205"/>
      <c r="Y205"/>
      <c r="Z205"/>
      <c r="AA205"/>
      <c r="AB205"/>
    </row>
    <row r="206" spans="1:28" s="9" customFormat="1" ht="18">
      <c r="A206"/>
      <c r="B206"/>
      <c r="C206"/>
      <c r="D206"/>
      <c r="E206"/>
      <c r="F206"/>
      <c r="G206"/>
      <c r="H206"/>
      <c r="I206"/>
      <c r="J206"/>
      <c r="K206"/>
      <c r="L206"/>
      <c r="M206" s="11" t="str" cm="1">
        <f t="array" ref="M206">IF(ISBLANK($A206),"",_xlfn._xlws.FILTER(Score_Sheet!$F:$K,(Score_Sheet!$L:$L=Class_Wise!$B$1)*(Score_Sheet!$A:$A=Class_Wise!$A206),"NA"))</f>
        <v/>
      </c>
      <c r="N206" s="11"/>
      <c r="O206" s="11"/>
      <c r="P206" s="11"/>
      <c r="Q206" s="11"/>
      <c r="R206" s="10"/>
      <c r="S206"/>
      <c r="T206"/>
      <c r="U206"/>
      <c r="V206"/>
      <c r="W206"/>
      <c r="X206"/>
      <c r="Y206"/>
      <c r="Z206"/>
      <c r="AA206"/>
      <c r="AB206"/>
    </row>
    <row r="207" spans="1:28" s="9" customFormat="1" ht="18">
      <c r="A207"/>
      <c r="B207"/>
      <c r="C207"/>
      <c r="D207"/>
      <c r="E207"/>
      <c r="F207"/>
      <c r="G207"/>
      <c r="H207"/>
      <c r="I207"/>
      <c r="J207"/>
      <c r="K207"/>
      <c r="L207"/>
      <c r="M207" s="11" t="str" cm="1">
        <f t="array" ref="M207">IF(ISBLANK($A207),"",_xlfn._xlws.FILTER(Score_Sheet!$F:$K,(Score_Sheet!$L:$L=Class_Wise!$B$1)*(Score_Sheet!$A:$A=Class_Wise!$A207),"NA"))</f>
        <v/>
      </c>
      <c r="N207" s="11"/>
      <c r="O207" s="11"/>
      <c r="P207" s="11"/>
      <c r="Q207" s="11"/>
      <c r="R207" s="10"/>
      <c r="S207"/>
      <c r="T207"/>
      <c r="U207"/>
      <c r="V207"/>
      <c r="W207"/>
      <c r="X207"/>
      <c r="Y207"/>
      <c r="Z207"/>
      <c r="AA207"/>
      <c r="AB207"/>
    </row>
    <row r="208" spans="1:28" s="9" customFormat="1" ht="18">
      <c r="A208"/>
      <c r="B208"/>
      <c r="C208"/>
      <c r="D208"/>
      <c r="E208"/>
      <c r="F208"/>
      <c r="G208"/>
      <c r="H208"/>
      <c r="I208"/>
      <c r="J208"/>
      <c r="K208"/>
      <c r="L208"/>
      <c r="M208" s="11" t="str" cm="1">
        <f t="array" ref="M208">IF(ISBLANK($A208),"",_xlfn._xlws.FILTER(Score_Sheet!$F:$K,(Score_Sheet!$L:$L=Class_Wise!$B$1)*(Score_Sheet!$A:$A=Class_Wise!$A208),"NA"))</f>
        <v/>
      </c>
      <c r="N208" s="11"/>
      <c r="O208" s="11"/>
      <c r="P208" s="11"/>
      <c r="Q208" s="11"/>
      <c r="R208" s="10"/>
      <c r="S208"/>
      <c r="T208"/>
      <c r="U208"/>
      <c r="V208"/>
      <c r="W208"/>
      <c r="X208"/>
      <c r="Y208"/>
      <c r="Z208"/>
      <c r="AA208"/>
      <c r="AB208"/>
    </row>
    <row r="209" spans="1:28" s="9" customFormat="1" ht="18">
      <c r="A209"/>
      <c r="B209"/>
      <c r="C209"/>
      <c r="D209"/>
      <c r="E209"/>
      <c r="F209"/>
      <c r="G209"/>
      <c r="H209"/>
      <c r="I209"/>
      <c r="J209"/>
      <c r="K209"/>
      <c r="L209"/>
      <c r="M209" s="11" t="str" cm="1">
        <f t="array" ref="M209">IF(ISBLANK($A209),"",_xlfn._xlws.FILTER(Score_Sheet!$F:$K,(Score_Sheet!$L:$L=Class_Wise!$B$1)*(Score_Sheet!$A:$A=Class_Wise!$A209),"NA"))</f>
        <v/>
      </c>
      <c r="N209" s="11"/>
      <c r="O209" s="11"/>
      <c r="P209" s="11"/>
      <c r="Q209" s="11"/>
      <c r="R209" s="10"/>
      <c r="S209"/>
      <c r="T209"/>
      <c r="U209"/>
      <c r="V209"/>
      <c r="W209"/>
      <c r="X209"/>
      <c r="Y209"/>
      <c r="Z209"/>
      <c r="AA209"/>
      <c r="AB209"/>
    </row>
    <row r="210" spans="1:28" s="9" customFormat="1" ht="18">
      <c r="A210"/>
      <c r="B210"/>
      <c r="C210"/>
      <c r="D210"/>
      <c r="E210"/>
      <c r="F210"/>
      <c r="G210"/>
      <c r="H210"/>
      <c r="I210"/>
      <c r="J210"/>
      <c r="K210"/>
      <c r="L210"/>
      <c r="M210" s="11" t="str" cm="1">
        <f t="array" ref="M210">IF(ISBLANK($A210),"",_xlfn._xlws.FILTER(Score_Sheet!$F:$K,(Score_Sheet!$L:$L=Class_Wise!$B$1)*(Score_Sheet!$A:$A=Class_Wise!$A210),"NA"))</f>
        <v/>
      </c>
      <c r="N210" s="11"/>
      <c r="O210" s="11"/>
      <c r="P210" s="11"/>
      <c r="Q210" s="11"/>
      <c r="R210" s="10"/>
      <c r="S210"/>
      <c r="T210"/>
      <c r="U210"/>
      <c r="V210"/>
      <c r="W210"/>
      <c r="X210"/>
      <c r="Y210"/>
      <c r="Z210"/>
      <c r="AA210"/>
      <c r="AB210"/>
    </row>
    <row r="211" spans="1:28" s="9" customFormat="1" ht="18">
      <c r="A211"/>
      <c r="B211"/>
      <c r="C211"/>
      <c r="D211"/>
      <c r="E211"/>
      <c r="F211"/>
      <c r="G211"/>
      <c r="H211"/>
      <c r="I211"/>
      <c r="J211"/>
      <c r="K211"/>
      <c r="L211"/>
      <c r="M211" s="11" t="str" cm="1">
        <f t="array" ref="M211">IF(ISBLANK($A211),"",_xlfn._xlws.FILTER(Score_Sheet!$F:$K,(Score_Sheet!$L:$L=Class_Wise!$B$1)*(Score_Sheet!$A:$A=Class_Wise!$A211),"NA"))</f>
        <v/>
      </c>
      <c r="N211" s="11"/>
      <c r="O211" s="11"/>
      <c r="P211" s="11"/>
      <c r="Q211" s="11"/>
      <c r="R211" s="10"/>
      <c r="S211"/>
      <c r="T211"/>
      <c r="U211"/>
      <c r="V211"/>
      <c r="W211"/>
      <c r="X211"/>
      <c r="Y211"/>
      <c r="Z211"/>
      <c r="AA211"/>
      <c r="AB211"/>
    </row>
    <row r="212" spans="1:28" s="9" customFormat="1" ht="18">
      <c r="A212"/>
      <c r="B212"/>
      <c r="C212"/>
      <c r="D212"/>
      <c r="E212"/>
      <c r="F212"/>
      <c r="G212"/>
      <c r="H212"/>
      <c r="I212"/>
      <c r="J212"/>
      <c r="K212"/>
      <c r="L212"/>
      <c r="M212" s="11" t="str" cm="1">
        <f t="array" ref="M212">IF(ISBLANK($A212),"",_xlfn._xlws.FILTER(Score_Sheet!$F:$K,(Score_Sheet!$L:$L=Class_Wise!$B$1)*(Score_Sheet!$A:$A=Class_Wise!$A212),"NA"))</f>
        <v/>
      </c>
      <c r="N212" s="11"/>
      <c r="O212" s="11"/>
      <c r="P212" s="11"/>
      <c r="Q212" s="11"/>
      <c r="R212" s="10"/>
      <c r="S212"/>
      <c r="T212"/>
      <c r="U212"/>
      <c r="V212"/>
      <c r="W212"/>
      <c r="X212"/>
      <c r="Y212"/>
      <c r="Z212"/>
      <c r="AA212"/>
      <c r="AB212"/>
    </row>
    <row r="213" spans="1:28" s="9" customFormat="1" ht="18">
      <c r="A213"/>
      <c r="B213"/>
      <c r="C213"/>
      <c r="D213"/>
      <c r="E213"/>
      <c r="F213"/>
      <c r="G213"/>
      <c r="H213"/>
      <c r="I213"/>
      <c r="J213"/>
      <c r="K213"/>
      <c r="L213"/>
      <c r="M213" s="11" t="str" cm="1">
        <f t="array" ref="M213">IF(ISBLANK($A213),"",_xlfn._xlws.FILTER(Score_Sheet!$F:$K,(Score_Sheet!$L:$L=Class_Wise!$B$1)*(Score_Sheet!$A:$A=Class_Wise!$A213),"NA"))</f>
        <v/>
      </c>
      <c r="N213" s="11"/>
      <c r="O213" s="11"/>
      <c r="P213" s="11"/>
      <c r="Q213" s="11"/>
      <c r="R213" s="10"/>
      <c r="S213"/>
      <c r="T213"/>
      <c r="U213"/>
      <c r="V213"/>
      <c r="W213"/>
      <c r="X213"/>
      <c r="Y213"/>
      <c r="Z213"/>
      <c r="AA213"/>
      <c r="AB213"/>
    </row>
    <row r="214" spans="1:28" s="9" customFormat="1" ht="18">
      <c r="A214"/>
      <c r="B214"/>
      <c r="C214"/>
      <c r="D214"/>
      <c r="E214"/>
      <c r="F214"/>
      <c r="G214"/>
      <c r="H214"/>
      <c r="I214"/>
      <c r="J214"/>
      <c r="K214"/>
      <c r="L214"/>
      <c r="M214" s="11" t="str" cm="1">
        <f t="array" ref="M214">IF(ISBLANK($A214),"",_xlfn._xlws.FILTER(Score_Sheet!$F:$K,(Score_Sheet!$L:$L=Class_Wise!$B$1)*(Score_Sheet!$A:$A=Class_Wise!$A214),"NA"))</f>
        <v/>
      </c>
      <c r="N214" s="11"/>
      <c r="O214" s="11"/>
      <c r="P214" s="11"/>
      <c r="Q214" s="11"/>
      <c r="R214" s="10"/>
      <c r="S214"/>
      <c r="T214"/>
      <c r="U214"/>
      <c r="V214"/>
      <c r="W214"/>
      <c r="X214"/>
      <c r="Y214"/>
      <c r="Z214"/>
      <c r="AA214"/>
      <c r="AB214"/>
    </row>
    <row r="215" spans="1:28" s="9" customFormat="1" ht="18">
      <c r="A215"/>
      <c r="B215"/>
      <c r="C215"/>
      <c r="D215"/>
      <c r="E215"/>
      <c r="F215"/>
      <c r="G215"/>
      <c r="H215"/>
      <c r="I215"/>
      <c r="J215"/>
      <c r="K215"/>
      <c r="L215"/>
      <c r="M215" s="11" t="str" cm="1">
        <f t="array" ref="M215">IF(ISBLANK($A215),"",_xlfn._xlws.FILTER(Score_Sheet!$F:$K,(Score_Sheet!$L:$L=Class_Wise!$B$1)*(Score_Sheet!$A:$A=Class_Wise!$A215),"NA"))</f>
        <v/>
      </c>
      <c r="N215" s="11"/>
      <c r="O215" s="11"/>
      <c r="P215" s="11"/>
      <c r="Q215" s="11"/>
      <c r="R215" s="10"/>
      <c r="S215"/>
      <c r="T215"/>
      <c r="U215"/>
      <c r="V215"/>
      <c r="W215"/>
      <c r="X215"/>
      <c r="Y215"/>
      <c r="Z215"/>
      <c r="AA215"/>
      <c r="AB215"/>
    </row>
    <row r="216" spans="1:28" s="9" customFormat="1" ht="18">
      <c r="A216"/>
      <c r="B216"/>
      <c r="C216"/>
      <c r="D216"/>
      <c r="E216"/>
      <c r="F216"/>
      <c r="G216"/>
      <c r="H216"/>
      <c r="I216"/>
      <c r="J216"/>
      <c r="K216"/>
      <c r="L216"/>
      <c r="M216" s="11" t="str" cm="1">
        <f t="array" ref="M216">IF(ISBLANK($A216),"",_xlfn._xlws.FILTER(Score_Sheet!$F:$K,(Score_Sheet!$L:$L=Class_Wise!$B$1)*(Score_Sheet!$A:$A=Class_Wise!$A216),"NA"))</f>
        <v/>
      </c>
      <c r="N216" s="11"/>
      <c r="O216" s="11"/>
      <c r="P216" s="11"/>
      <c r="Q216" s="11"/>
      <c r="R216" s="10"/>
      <c r="S216"/>
      <c r="T216"/>
      <c r="U216"/>
      <c r="V216"/>
      <c r="W216"/>
      <c r="X216"/>
      <c r="Y216"/>
      <c r="Z216"/>
      <c r="AA216"/>
      <c r="AB216"/>
    </row>
    <row r="217" spans="1:28" s="9" customFormat="1" ht="18">
      <c r="A217"/>
      <c r="B217"/>
      <c r="C217"/>
      <c r="D217"/>
      <c r="E217"/>
      <c r="F217"/>
      <c r="G217"/>
      <c r="H217"/>
      <c r="I217"/>
      <c r="J217"/>
      <c r="K217"/>
      <c r="L217"/>
      <c r="M217" s="11" t="str" cm="1">
        <f t="array" ref="M217">IF(ISBLANK($A217),"",_xlfn._xlws.FILTER(Score_Sheet!$F:$K,(Score_Sheet!$L:$L=Class_Wise!$B$1)*(Score_Sheet!$A:$A=Class_Wise!$A217),"NA"))</f>
        <v/>
      </c>
      <c r="N217" s="11"/>
      <c r="O217" s="11"/>
      <c r="P217" s="11"/>
      <c r="Q217" s="11"/>
      <c r="R217" s="10"/>
      <c r="S217"/>
      <c r="T217"/>
      <c r="U217"/>
      <c r="V217"/>
      <c r="W217"/>
      <c r="X217"/>
      <c r="Y217"/>
      <c r="Z217"/>
      <c r="AA217"/>
      <c r="AB217"/>
    </row>
    <row r="218" spans="1:28" s="9" customFormat="1" ht="18">
      <c r="A218"/>
      <c r="B218"/>
      <c r="C218"/>
      <c r="D218"/>
      <c r="E218"/>
      <c r="F218"/>
      <c r="G218"/>
      <c r="H218"/>
      <c r="I218"/>
      <c r="J218"/>
      <c r="K218"/>
      <c r="L218"/>
      <c r="M218" s="11" t="str" cm="1">
        <f t="array" ref="M218">IF(ISBLANK($A218),"",_xlfn._xlws.FILTER(Score_Sheet!$F:$K,(Score_Sheet!$L:$L=Class_Wise!$B$1)*(Score_Sheet!$A:$A=Class_Wise!$A218),"NA"))</f>
        <v/>
      </c>
      <c r="N218" s="11"/>
      <c r="O218" s="11"/>
      <c r="P218" s="11"/>
      <c r="Q218" s="11"/>
      <c r="R218" s="10"/>
      <c r="S218"/>
      <c r="T218"/>
      <c r="U218"/>
      <c r="V218"/>
      <c r="W218"/>
      <c r="X218"/>
      <c r="Y218"/>
      <c r="Z218"/>
      <c r="AA218"/>
      <c r="AB218"/>
    </row>
    <row r="219" spans="1:28" s="9" customFormat="1" ht="18">
      <c r="A219"/>
      <c r="B219"/>
      <c r="C219"/>
      <c r="D219"/>
      <c r="E219"/>
      <c r="F219"/>
      <c r="G219"/>
      <c r="H219"/>
      <c r="I219"/>
      <c r="J219"/>
      <c r="K219"/>
      <c r="L219"/>
      <c r="M219" s="11" t="str" cm="1">
        <f t="array" ref="M219">IF(ISBLANK($A219),"",_xlfn._xlws.FILTER(Score_Sheet!$F:$K,(Score_Sheet!$L:$L=Class_Wise!$B$1)*(Score_Sheet!$A:$A=Class_Wise!$A219),"NA"))</f>
        <v/>
      </c>
      <c r="N219" s="11"/>
      <c r="O219" s="11"/>
      <c r="P219" s="11"/>
      <c r="Q219" s="11"/>
      <c r="R219" s="10"/>
      <c r="S219"/>
      <c r="T219"/>
      <c r="U219"/>
      <c r="V219"/>
      <c r="W219"/>
      <c r="X219"/>
      <c r="Y219"/>
      <c r="Z219"/>
      <c r="AA219"/>
      <c r="AB219"/>
    </row>
    <row r="220" spans="1:28" s="9" customFormat="1" ht="18">
      <c r="A220"/>
      <c r="B220"/>
      <c r="C220"/>
      <c r="D220"/>
      <c r="E220"/>
      <c r="F220"/>
      <c r="G220"/>
      <c r="H220"/>
      <c r="I220"/>
      <c r="J220"/>
      <c r="K220"/>
      <c r="L220"/>
      <c r="M220" s="11" t="str" cm="1">
        <f t="array" ref="M220">IF(ISBLANK($A220),"",_xlfn._xlws.FILTER(Score_Sheet!$F:$K,(Score_Sheet!$L:$L=Class_Wise!$B$1)*(Score_Sheet!$A:$A=Class_Wise!$A220),"NA"))</f>
        <v/>
      </c>
      <c r="N220" s="11"/>
      <c r="O220" s="11"/>
      <c r="P220" s="11"/>
      <c r="Q220" s="11"/>
      <c r="R220" s="10"/>
      <c r="S220"/>
      <c r="T220"/>
      <c r="U220"/>
      <c r="V220"/>
      <c r="W220"/>
      <c r="X220"/>
      <c r="Y220"/>
      <c r="Z220"/>
      <c r="AA220"/>
      <c r="AB220"/>
    </row>
    <row r="221" spans="1:28" s="9" customFormat="1" ht="18">
      <c r="A221"/>
      <c r="B221"/>
      <c r="C221"/>
      <c r="D221"/>
      <c r="E221"/>
      <c r="F221"/>
      <c r="G221"/>
      <c r="H221"/>
      <c r="I221"/>
      <c r="J221"/>
      <c r="K221"/>
      <c r="L221"/>
      <c r="M221" s="11" t="str" cm="1">
        <f t="array" ref="M221">IF(ISBLANK($A221),"",_xlfn._xlws.FILTER(Score_Sheet!$F:$K,(Score_Sheet!$L:$L=Class_Wise!$B$1)*(Score_Sheet!$A:$A=Class_Wise!$A221),"NA"))</f>
        <v/>
      </c>
      <c r="N221" s="11"/>
      <c r="O221" s="11"/>
      <c r="P221" s="11"/>
      <c r="Q221" s="11"/>
      <c r="R221" s="10"/>
      <c r="S221"/>
      <c r="T221"/>
      <c r="U221"/>
      <c r="V221"/>
      <c r="W221"/>
      <c r="X221"/>
      <c r="Y221"/>
      <c r="Z221"/>
      <c r="AA221"/>
      <c r="AB221"/>
    </row>
    <row r="222" spans="1:28" s="9" customFormat="1" ht="18">
      <c r="A222"/>
      <c r="B222"/>
      <c r="C222"/>
      <c r="D222"/>
      <c r="E222"/>
      <c r="F222"/>
      <c r="G222"/>
      <c r="H222"/>
      <c r="I222"/>
      <c r="J222"/>
      <c r="K222"/>
      <c r="L222"/>
      <c r="M222" s="11" t="str" cm="1">
        <f t="array" ref="M222">IF(ISBLANK($A222),"",_xlfn._xlws.FILTER(Score_Sheet!$F:$K,(Score_Sheet!$L:$L=Class_Wise!$B$1)*(Score_Sheet!$A:$A=Class_Wise!$A222),"NA"))</f>
        <v/>
      </c>
      <c r="N222" s="11"/>
      <c r="O222" s="11"/>
      <c r="P222" s="11"/>
      <c r="Q222" s="11"/>
      <c r="R222" s="10"/>
      <c r="S222"/>
      <c r="T222"/>
      <c r="U222"/>
      <c r="V222"/>
      <c r="W222"/>
      <c r="X222"/>
      <c r="Y222"/>
      <c r="Z222"/>
      <c r="AA222"/>
      <c r="AB222"/>
    </row>
    <row r="223" spans="1:28" s="9" customFormat="1" ht="18">
      <c r="A223"/>
      <c r="B223"/>
      <c r="C223"/>
      <c r="D223"/>
      <c r="E223"/>
      <c r="F223"/>
      <c r="G223"/>
      <c r="H223"/>
      <c r="I223"/>
      <c r="J223"/>
      <c r="K223"/>
      <c r="L223"/>
      <c r="M223" s="11" t="str" cm="1">
        <f t="array" ref="M223">IF(ISBLANK($A223),"",_xlfn._xlws.FILTER(Score_Sheet!$F:$K,(Score_Sheet!$L:$L=Class_Wise!$B$1)*(Score_Sheet!$A:$A=Class_Wise!$A223),"NA"))</f>
        <v/>
      </c>
      <c r="N223" s="11"/>
      <c r="O223" s="11"/>
      <c r="P223" s="11"/>
      <c r="Q223" s="11"/>
      <c r="R223" s="10"/>
      <c r="S223"/>
      <c r="T223"/>
      <c r="U223"/>
      <c r="V223"/>
      <c r="W223"/>
      <c r="X223"/>
      <c r="Y223"/>
      <c r="Z223"/>
      <c r="AA223"/>
      <c r="AB223"/>
    </row>
    <row r="224" spans="1:28" s="9" customFormat="1" ht="18">
      <c r="A224"/>
      <c r="B224"/>
      <c r="C224"/>
      <c r="D224"/>
      <c r="E224"/>
      <c r="F224"/>
      <c r="G224"/>
      <c r="H224"/>
      <c r="I224"/>
      <c r="J224"/>
      <c r="K224"/>
      <c r="L224"/>
      <c r="M224" s="11" t="str" cm="1">
        <f t="array" ref="M224">IF(ISBLANK($A224),"",_xlfn._xlws.FILTER(Score_Sheet!$F:$K,(Score_Sheet!$L:$L=Class_Wise!$B$1)*(Score_Sheet!$A:$A=Class_Wise!$A224),"NA"))</f>
        <v/>
      </c>
      <c r="N224" s="11"/>
      <c r="O224" s="11"/>
      <c r="P224" s="11"/>
      <c r="Q224" s="11"/>
      <c r="R224" s="10"/>
      <c r="S224"/>
      <c r="T224"/>
      <c r="U224"/>
      <c r="V224"/>
      <c r="W224"/>
      <c r="X224"/>
      <c r="Y224"/>
      <c r="Z224"/>
      <c r="AA224"/>
      <c r="AB224"/>
    </row>
    <row r="225" spans="1:28" s="9" customFormat="1" ht="18">
      <c r="A225"/>
      <c r="B225"/>
      <c r="C225"/>
      <c r="D225"/>
      <c r="E225"/>
      <c r="F225"/>
      <c r="G225"/>
      <c r="H225"/>
      <c r="I225"/>
      <c r="J225"/>
      <c r="K225"/>
      <c r="L225"/>
      <c r="M225" s="11" t="str" cm="1">
        <f t="array" ref="M225">IF(ISBLANK($A225),"",_xlfn._xlws.FILTER(Score_Sheet!$F:$K,(Score_Sheet!$L:$L=Class_Wise!$B$1)*(Score_Sheet!$A:$A=Class_Wise!$A225),"NA"))</f>
        <v/>
      </c>
      <c r="N225" s="11"/>
      <c r="O225" s="11"/>
      <c r="P225" s="11"/>
      <c r="Q225" s="11"/>
      <c r="R225" s="10"/>
      <c r="S225"/>
      <c r="T225"/>
      <c r="U225"/>
      <c r="V225"/>
      <c r="W225"/>
      <c r="X225"/>
      <c r="Y225"/>
      <c r="Z225"/>
      <c r="AA225"/>
      <c r="AB225"/>
    </row>
    <row r="226" spans="1:28" s="9" customFormat="1" ht="18">
      <c r="A226"/>
      <c r="B226"/>
      <c r="C226"/>
      <c r="D226"/>
      <c r="E226"/>
      <c r="F226"/>
      <c r="G226"/>
      <c r="H226"/>
      <c r="I226"/>
      <c r="J226"/>
      <c r="K226"/>
      <c r="L226"/>
      <c r="M226" s="11" t="str" cm="1">
        <f t="array" ref="M226">IF(ISBLANK($A226),"",_xlfn._xlws.FILTER(Score_Sheet!$F:$K,(Score_Sheet!$L:$L=Class_Wise!$B$1)*(Score_Sheet!$A:$A=Class_Wise!$A226),"NA"))</f>
        <v/>
      </c>
      <c r="N226" s="11"/>
      <c r="O226" s="11"/>
      <c r="P226" s="11"/>
      <c r="Q226" s="11"/>
      <c r="R226" s="10"/>
      <c r="S226"/>
      <c r="T226"/>
      <c r="U226"/>
      <c r="V226"/>
      <c r="W226"/>
      <c r="X226"/>
      <c r="Y226"/>
      <c r="Z226"/>
      <c r="AA226"/>
      <c r="AB226"/>
    </row>
    <row r="227" spans="1:28" s="9" customFormat="1" ht="18">
      <c r="A227"/>
      <c r="B227"/>
      <c r="C227"/>
      <c r="D227"/>
      <c r="E227"/>
      <c r="F227"/>
      <c r="G227"/>
      <c r="H227"/>
      <c r="I227"/>
      <c r="J227"/>
      <c r="K227"/>
      <c r="L227"/>
      <c r="M227" s="11" t="str" cm="1">
        <f t="array" ref="M227">IF(ISBLANK($A227),"",_xlfn._xlws.FILTER(Score_Sheet!$F:$K,(Score_Sheet!$L:$L=Class_Wise!$B$1)*(Score_Sheet!$A:$A=Class_Wise!$A227),"NA"))</f>
        <v/>
      </c>
      <c r="N227" s="11"/>
      <c r="O227" s="11"/>
      <c r="P227" s="11"/>
      <c r="Q227" s="11"/>
      <c r="R227" s="10"/>
      <c r="S227"/>
      <c r="T227"/>
      <c r="U227"/>
      <c r="V227"/>
      <c r="W227"/>
      <c r="X227"/>
      <c r="Y227"/>
      <c r="Z227"/>
      <c r="AA227"/>
      <c r="AB227"/>
    </row>
    <row r="228" spans="1:28" s="9" customFormat="1" ht="18">
      <c r="A228"/>
      <c r="B228"/>
      <c r="C228"/>
      <c r="D228"/>
      <c r="E228"/>
      <c r="F228"/>
      <c r="G228"/>
      <c r="H228"/>
      <c r="I228"/>
      <c r="J228"/>
      <c r="K228"/>
      <c r="L228"/>
      <c r="M228" s="11" t="str" cm="1">
        <f t="array" ref="M228">IF(ISBLANK($A228),"",_xlfn._xlws.FILTER(Score_Sheet!$F:$K,(Score_Sheet!$L:$L=Class_Wise!$B$1)*(Score_Sheet!$A:$A=Class_Wise!$A228),"NA"))</f>
        <v/>
      </c>
      <c r="N228" s="11"/>
      <c r="O228" s="11"/>
      <c r="P228" s="11"/>
      <c r="Q228" s="11"/>
      <c r="R228" s="10"/>
      <c r="S228"/>
      <c r="T228"/>
      <c r="U228"/>
      <c r="V228"/>
      <c r="W228"/>
      <c r="X228"/>
      <c r="Y228"/>
      <c r="Z228"/>
      <c r="AA228"/>
      <c r="AB228"/>
    </row>
    <row r="229" spans="1:28" s="9" customFormat="1" ht="18">
      <c r="A229"/>
      <c r="B229"/>
      <c r="C229"/>
      <c r="D229"/>
      <c r="E229"/>
      <c r="F229"/>
      <c r="G229"/>
      <c r="H229"/>
      <c r="I229"/>
      <c r="J229"/>
      <c r="K229"/>
      <c r="L229"/>
      <c r="M229" s="11" t="str" cm="1">
        <f t="array" ref="M229">IF(ISBLANK($A229),"",_xlfn._xlws.FILTER(Score_Sheet!$F:$K,(Score_Sheet!$L:$L=Class_Wise!$B$1)*(Score_Sheet!$A:$A=Class_Wise!$A229),"NA"))</f>
        <v/>
      </c>
      <c r="N229" s="11"/>
      <c r="O229" s="11"/>
      <c r="P229" s="11"/>
      <c r="Q229" s="11"/>
      <c r="R229" s="10"/>
      <c r="S229"/>
      <c r="T229"/>
      <c r="U229"/>
      <c r="V229"/>
      <c r="W229"/>
      <c r="X229"/>
      <c r="Y229"/>
      <c r="Z229"/>
      <c r="AA229"/>
      <c r="AB229"/>
    </row>
    <row r="230" spans="1:28" s="9" customFormat="1" ht="18">
      <c r="A230"/>
      <c r="B230"/>
      <c r="C230"/>
      <c r="D230"/>
      <c r="E230"/>
      <c r="F230"/>
      <c r="G230"/>
      <c r="H230"/>
      <c r="I230"/>
      <c r="J230"/>
      <c r="K230"/>
      <c r="L230"/>
      <c r="M230" s="11" t="str" cm="1">
        <f t="array" ref="M230">IF(ISBLANK($A230),"",_xlfn._xlws.FILTER(Score_Sheet!$F:$K,(Score_Sheet!$L:$L=Class_Wise!$B$1)*(Score_Sheet!$A:$A=Class_Wise!$A230),"NA"))</f>
        <v/>
      </c>
      <c r="N230" s="11"/>
      <c r="O230" s="11"/>
      <c r="P230" s="11"/>
      <c r="Q230" s="11"/>
      <c r="R230" s="10"/>
      <c r="S230"/>
      <c r="T230"/>
      <c r="U230"/>
      <c r="V230"/>
      <c r="W230"/>
      <c r="X230"/>
      <c r="Y230"/>
      <c r="Z230"/>
      <c r="AA230"/>
      <c r="AB230"/>
    </row>
    <row r="231" spans="1:28" s="9" customFormat="1" ht="18">
      <c r="A231"/>
      <c r="B231"/>
      <c r="C231"/>
      <c r="D231"/>
      <c r="E231"/>
      <c r="F231"/>
      <c r="G231"/>
      <c r="H231"/>
      <c r="I231"/>
      <c r="J231"/>
      <c r="K231"/>
      <c r="L231"/>
      <c r="M231" s="11" t="str" cm="1">
        <f t="array" ref="M231">IF(ISBLANK($A231),"",_xlfn._xlws.FILTER(Score_Sheet!$F:$K,(Score_Sheet!$L:$L=Class_Wise!$B$1)*(Score_Sheet!$A:$A=Class_Wise!$A231),"NA"))</f>
        <v/>
      </c>
      <c r="N231" s="11"/>
      <c r="O231" s="11"/>
      <c r="P231" s="11"/>
      <c r="Q231" s="11"/>
      <c r="R231" s="10"/>
      <c r="S231"/>
      <c r="T231"/>
      <c r="U231"/>
      <c r="V231"/>
      <c r="W231"/>
      <c r="X231"/>
      <c r="Y231"/>
      <c r="Z231"/>
      <c r="AA231"/>
      <c r="AB231"/>
    </row>
    <row r="232" spans="1:28" s="9" customFormat="1" ht="18">
      <c r="A232"/>
      <c r="B232"/>
      <c r="C232"/>
      <c r="D232"/>
      <c r="E232"/>
      <c r="F232"/>
      <c r="G232"/>
      <c r="H232"/>
      <c r="I232"/>
      <c r="J232"/>
      <c r="K232"/>
      <c r="L232"/>
      <c r="M232" s="11" t="str" cm="1">
        <f t="array" ref="M232">IF(ISBLANK($A232),"",_xlfn._xlws.FILTER(Score_Sheet!$F:$K,(Score_Sheet!$L:$L=Class_Wise!$B$1)*(Score_Sheet!$A:$A=Class_Wise!$A232),"NA"))</f>
        <v/>
      </c>
      <c r="N232" s="11"/>
      <c r="O232" s="11"/>
      <c r="P232" s="11"/>
      <c r="Q232" s="11"/>
      <c r="R232" s="10"/>
      <c r="S232"/>
      <c r="T232"/>
      <c r="U232"/>
      <c r="V232"/>
      <c r="W232"/>
      <c r="X232"/>
      <c r="Y232"/>
      <c r="Z232"/>
      <c r="AA232"/>
      <c r="AB232"/>
    </row>
    <row r="233" spans="1:28" s="9" customFormat="1" ht="18">
      <c r="A233"/>
      <c r="B233"/>
      <c r="C233"/>
      <c r="D233"/>
      <c r="E233"/>
      <c r="F233"/>
      <c r="G233"/>
      <c r="H233"/>
      <c r="I233"/>
      <c r="J233"/>
      <c r="K233"/>
      <c r="L233"/>
      <c r="M233" s="11" t="str" cm="1">
        <f t="array" ref="M233">IF(ISBLANK($A233),"",_xlfn._xlws.FILTER(Score_Sheet!$F:$K,(Score_Sheet!$L:$L=Class_Wise!$B$1)*(Score_Sheet!$A:$A=Class_Wise!$A233),"NA"))</f>
        <v/>
      </c>
      <c r="N233" s="11"/>
      <c r="O233" s="11"/>
      <c r="P233" s="11"/>
      <c r="Q233" s="11"/>
      <c r="R233" s="10"/>
      <c r="S233"/>
      <c r="T233"/>
      <c r="U233"/>
      <c r="V233"/>
      <c r="W233"/>
      <c r="X233"/>
      <c r="Y233"/>
      <c r="Z233"/>
      <c r="AA233"/>
      <c r="AB233"/>
    </row>
  </sheetData>
  <mergeCells count="5">
    <mergeCell ref="O5:R5"/>
    <mergeCell ref="A10:C10"/>
    <mergeCell ref="M10:O10"/>
    <mergeCell ref="A3:R3"/>
    <mergeCell ref="A4:R4"/>
  </mergeCells>
  <conditionalFormatting sqref="D11:D4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:J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1:Q4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1:R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scale="39" orientation="portrait" errors="blank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59EDBF-EE19-4719-96C1-31C920CDFF77}">
          <x14:formula1>
            <xm:f>Score_Sheet!$L:$L</xm:f>
          </x14:formula1>
          <xm:sqref>B1:L1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CADE91CB5BE542854F23A6BE11FA31" ma:contentTypeVersion="3" ma:contentTypeDescription="Create a new document." ma:contentTypeScope="" ma:versionID="a35a06c6bcb56a21a555b3420c787cda">
  <xsd:schema xmlns:xsd="http://www.w3.org/2001/XMLSchema" xmlns:xs="http://www.w3.org/2001/XMLSchema" xmlns:p="http://schemas.microsoft.com/office/2006/metadata/properties" xmlns:ns2="a650e452-304b-4265-b6d7-93df591f8c36" targetNamespace="http://schemas.microsoft.com/office/2006/metadata/properties" ma:root="true" ma:fieldsID="9c81319f2ea57c81f8f1b8007fbb701d" ns2:_="">
    <xsd:import namespace="a650e452-304b-4265-b6d7-93df591f8c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50e452-304b-4265-b6d7-93df591f8c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5A9269-BC22-400C-81CD-470029A58CC0}"/>
</file>

<file path=customXml/itemProps2.xml><?xml version="1.0" encoding="utf-8"?>
<ds:datastoreItem xmlns:ds="http://schemas.openxmlformats.org/officeDocument/2006/customXml" ds:itemID="{13BA133A-4292-4462-AFAE-9C77DF74EC19}">
  <ds:schemaRefs>
    <ds:schemaRef ds:uri="http://schemas.microsoft.com/office/2006/metadata/properties"/>
    <ds:schemaRef ds:uri="http://schemas.microsoft.com/office/infopath/2007/PartnerControls"/>
    <ds:schemaRef ds:uri="408ab03c-27d6-4152-990f-a496ceb06a0e"/>
    <ds:schemaRef ds:uri="e4385af7-8a7b-41d8-a835-b829c5afe77a"/>
    <ds:schemaRef ds:uri="1346acd0-6acf-46a0-a85c-edb48858ea21"/>
    <ds:schemaRef ds:uri="257b3aef-15e5-405f-a648-79d938d3eaed"/>
  </ds:schemaRefs>
</ds:datastoreItem>
</file>

<file path=customXml/itemProps3.xml><?xml version="1.0" encoding="utf-8"?>
<ds:datastoreItem xmlns:ds="http://schemas.openxmlformats.org/officeDocument/2006/customXml" ds:itemID="{CBA1F835-C012-4B72-8BB8-8A942049B9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Score_Sheet</vt:lpstr>
      <vt:lpstr>Sheet1</vt:lpstr>
      <vt:lpstr>Class_Wise</vt:lpstr>
      <vt:lpstr>Class_Wise!Print_Area</vt:lpstr>
      <vt:lpstr>Sheet1!Print_Area</vt:lpstr>
      <vt:lpstr>Class_Wise!Print_Titles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Narva</dc:creator>
  <cp:keywords/>
  <dc:description/>
  <cp:lastModifiedBy>Anguru Tejeshwar Rao</cp:lastModifiedBy>
  <cp:revision/>
  <cp:lastPrinted>2026-03-14T11:26:13Z</cp:lastPrinted>
  <dcterms:created xsi:type="dcterms:W3CDTF">2025-06-21T18:29:41Z</dcterms:created>
  <dcterms:modified xsi:type="dcterms:W3CDTF">2026-03-14T11:26:22Z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0x010100A3CADE91CB5BE542854F23A6BE11FA31</vt:lpwstr>
  </property>
  <property fmtid="{D5CDD505-2E9C-101B-9397-08002B2CF9AE}" pid="3" name="MediaServiceImageTags">
    <vt:lpwstr/>
  </property>
</Properties>
</file>